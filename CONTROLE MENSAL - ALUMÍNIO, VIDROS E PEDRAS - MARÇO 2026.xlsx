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lutec-spreadsheets\"/>
    </mc:Choice>
  </mc:AlternateContent>
  <xr:revisionPtr revIDLastSave="0" documentId="8_{5B863844-EA00-45CB-8BF7-67939A7A4167}" xr6:coauthVersionLast="47" xr6:coauthVersionMax="47" xr10:uidLastSave="{00000000-0000-0000-0000-000000000000}"/>
  <bookViews>
    <workbookView xWindow="-120" yWindow="-120" windowWidth="38640" windowHeight="21120" tabRatio="691" xr2:uid="{00000000-000D-0000-FFFF-FFFF00000000}"/>
  </bookViews>
  <sheets>
    <sheet name="PEDIDOS DE ALUMÍNIO ADELPE" sheetId="2" r:id="rId1"/>
    <sheet name="PEDIDOS DE VIDRO GLASSPEL" sheetId="13" r:id="rId2"/>
    <sheet name="PEDIDOS DE VIDRO WANDER BOX" sheetId="10" r:id="rId3"/>
    <sheet name="PEDIDOS DE VIDRO PINHEIRO" sheetId="12" r:id="rId4"/>
    <sheet name="PEDIDOS DE VIDROS SALETE" sheetId="24" r:id="rId5"/>
    <sheet name="VIDROS CHAGAS" sheetId="25" r:id="rId6"/>
    <sheet name="PEDIDOS DE VIDRO STHENOO" sheetId="11" r:id="rId7"/>
    <sheet name="PEDIDOS DE PEDRA MÁRMORE" sheetId="4" r:id="rId8"/>
    <sheet name="PRIMAPOX" sheetId="16" r:id="rId9"/>
    <sheet name="NOVA ESSENCIAL" sheetId="22" r:id="rId10"/>
    <sheet name="PEDIDOS DE ALUMÍNIO RIO PRETO" sheetId="9" r:id="rId11"/>
    <sheet name="PEDIDO DE VIDRO VARZIM" sheetId="17" r:id="rId12"/>
    <sheet name="PEDIDO DE VIDRO VIDRAÇO" sheetId="14" r:id="rId13"/>
    <sheet name="MT METALURGICA" sheetId="21" r:id="rId14"/>
    <sheet name="PEDIDOS DE VIDRO BELÉM" sheetId="3" r:id="rId15"/>
    <sheet name="ALUMIVAN" sheetId="19" r:id="rId16"/>
    <sheet name="COLOR TELHA" sheetId="15" r:id="rId17"/>
    <sheet name="REAL VIDROS" sheetId="20" r:id="rId18"/>
    <sheet name="SMART GLASS" sheetId="23" r:id="rId19"/>
  </sheets>
  <definedNames>
    <definedName name="_xlnm._FilterDatabase" localSheetId="0" hidden="1">'PEDIDOS DE ALUMÍNIO ADELPE'!#REF!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E4" i="2"/>
  <c r="C4" i="2"/>
  <c r="E1" i="10" l="1"/>
  <c r="C1" i="10"/>
  <c r="I2" i="24" l="1"/>
  <c r="C2" i="24"/>
  <c r="E2" i="22" l="1"/>
  <c r="C2" i="22"/>
  <c r="L2" i="13" l="1"/>
  <c r="F2" i="13"/>
  <c r="D2" i="13"/>
  <c r="J2" i="14" l="1"/>
  <c r="E2" i="14"/>
  <c r="C2" i="14"/>
  <c r="D7" i="25" l="1"/>
  <c r="I2" i="11" l="1"/>
  <c r="C2" i="11"/>
  <c r="E2" i="4" l="1"/>
  <c r="C2" i="4"/>
  <c r="J2" i="12" l="1"/>
  <c r="L35" i="10" l="1"/>
  <c r="E2" i="24" l="1"/>
  <c r="G2" i="24" s="1"/>
  <c r="J2" i="23" l="1"/>
  <c r="E2" i="23"/>
  <c r="C2" i="23"/>
  <c r="J2" i="20"/>
  <c r="E2" i="20"/>
  <c r="C2" i="20"/>
  <c r="J2" i="15"/>
  <c r="E2" i="15"/>
  <c r="C2" i="15"/>
  <c r="J2" i="19"/>
  <c r="E2" i="19"/>
  <c r="C2" i="19"/>
  <c r="J2" i="3"/>
  <c r="E2" i="3"/>
  <c r="C2" i="3"/>
  <c r="J2" i="21"/>
  <c r="E2" i="21"/>
  <c r="C2" i="21"/>
  <c r="J2" i="17"/>
  <c r="E2" i="17"/>
  <c r="C2" i="17"/>
  <c r="J2" i="9"/>
  <c r="E2" i="9"/>
  <c r="C2" i="9"/>
  <c r="J2" i="22"/>
  <c r="J2" i="16"/>
  <c r="E2" i="16"/>
  <c r="C2" i="16"/>
  <c r="J2" i="4"/>
  <c r="G2" i="4"/>
  <c r="E2" i="12"/>
  <c r="C2" i="12"/>
  <c r="E2" i="11"/>
  <c r="G2" i="11" s="1"/>
  <c r="I2" i="13"/>
  <c r="G4" i="2"/>
  <c r="G2" i="23" l="1"/>
  <c r="G2" i="19"/>
  <c r="G2" i="20"/>
  <c r="G2" i="3"/>
  <c r="G2" i="17"/>
  <c r="G2" i="15"/>
  <c r="G2" i="14"/>
  <c r="G2" i="16"/>
  <c r="G2" i="21"/>
  <c r="G2" i="22"/>
  <c r="G2" i="9"/>
  <c r="G2" i="12"/>
</calcChain>
</file>

<file path=xl/sharedStrings.xml><?xml version="1.0" encoding="utf-8"?>
<sst xmlns="http://schemas.openxmlformats.org/spreadsheetml/2006/main" count="586" uniqueCount="240">
  <si>
    <t>CONTROLE DE COMPRAS E ENTREGAS ALUMÍNIO – ADELPE</t>
  </si>
  <si>
    <t>PEDIDO</t>
  </si>
  <si>
    <t>CLIENTE</t>
  </si>
  <si>
    <t>TRATAMENTO</t>
  </si>
  <si>
    <t>SINAL/ DATA</t>
  </si>
  <si>
    <t>TIPO</t>
  </si>
  <si>
    <t xml:space="preserve">RETIRADO EM </t>
  </si>
  <si>
    <t>CONTROLE DE COMPRAS E RETIRADAS DE VIDROS – GLASSPEL</t>
  </si>
  <si>
    <t>CONTROLE DE COMPRAS E RETIRADAS DE VIDROS – PINHEIRO VIDROS</t>
  </si>
  <si>
    <t>CONTROLE DE COMPRAS E RETIRADAS DE VIDROS – STHENOO</t>
  </si>
  <si>
    <t>BRANCO</t>
  </si>
  <si>
    <t>CONTROLE DE COMPRAS E RETIRADAS DE VIDROS – WANDER BOX</t>
  </si>
  <si>
    <t>DATA</t>
  </si>
  <si>
    <t>PRONTO EM</t>
  </si>
  <si>
    <t>PAGO DIA</t>
  </si>
  <si>
    <t>PAGO DIA2</t>
  </si>
  <si>
    <t>FINAL</t>
  </si>
  <si>
    <t>SINAL</t>
  </si>
  <si>
    <t>PAGO EM</t>
  </si>
  <si>
    <t>PAGO EM2</t>
  </si>
  <si>
    <t>PRONTO EM:</t>
  </si>
  <si>
    <t>PG DIA</t>
  </si>
  <si>
    <t>SINAL/ TOTAL</t>
  </si>
  <si>
    <t>INFORMAÇÃO</t>
  </si>
  <si>
    <t>PAGO EM:</t>
  </si>
  <si>
    <t xml:space="preserve">PAGO EM </t>
  </si>
  <si>
    <t xml:space="preserve"> </t>
  </si>
  <si>
    <t>PRONTA EM:</t>
  </si>
  <si>
    <t>DATA P/ ADELPE</t>
  </si>
  <si>
    <t>DATA P/ ZÉ</t>
  </si>
  <si>
    <t xml:space="preserve">PRONTO </t>
  </si>
  <si>
    <t>FINAL/ DATA</t>
  </si>
  <si>
    <t>PG DIA2</t>
  </si>
  <si>
    <t xml:space="preserve">OBS.: </t>
  </si>
  <si>
    <t>OBSERVAÇÕES</t>
  </si>
  <si>
    <t>PRETO</t>
  </si>
  <si>
    <t>SALDO DEVEDOR</t>
  </si>
  <si>
    <t>OBSERVAÇÃO</t>
  </si>
  <si>
    <t>SALDO TOTAL DEVEDOR</t>
  </si>
  <si>
    <r>
      <t xml:space="preserve">SALDO </t>
    </r>
    <r>
      <rPr>
        <sz val="10"/>
        <rFont val="Century Gothic"/>
        <family val="2"/>
        <scheme val="minor"/>
      </rPr>
      <t>A PAGAR</t>
    </r>
  </si>
  <si>
    <r>
      <t xml:space="preserve">SINAL </t>
    </r>
    <r>
      <rPr>
        <sz val="10"/>
        <rFont val="Century Gothic"/>
        <family val="2"/>
        <scheme val="minor"/>
      </rPr>
      <t>A PAGAR</t>
    </r>
  </si>
  <si>
    <r>
      <rPr>
        <b/>
        <sz val="8"/>
        <color rgb="FFFF0000"/>
        <rFont val="Century Gothic"/>
        <family val="2"/>
        <scheme val="minor"/>
      </rPr>
      <t>MEDIDA MÁXIMA PARA VIDRO TEMPERADO</t>
    </r>
    <r>
      <rPr>
        <b/>
        <sz val="10"/>
        <color rgb="FFFF0000"/>
        <rFont val="Century Gothic"/>
        <family val="2"/>
        <scheme val="minor"/>
      </rPr>
      <t>:</t>
    </r>
    <r>
      <rPr>
        <b/>
        <sz val="14"/>
        <color rgb="FFFF0000"/>
        <rFont val="Century Gothic"/>
        <family val="2"/>
        <scheme val="minor"/>
      </rPr>
      <t xml:space="preserve"> 120X255</t>
    </r>
  </si>
  <si>
    <t>VIDRO INCOLOR COMUM 06MM - R$126,10</t>
  </si>
  <si>
    <t>VIDRO TEMPERADO INCOLOR 06MM - R$139,00</t>
  </si>
  <si>
    <t>BRILHO</t>
  </si>
  <si>
    <t>PED.</t>
  </si>
  <si>
    <t>SALDO</t>
  </si>
  <si>
    <t>NATURAL</t>
  </si>
  <si>
    <t>INFORMAÇÕES</t>
  </si>
  <si>
    <t>VIDRO LAM. VER. 05 + 05MM = 10MM - R$000,00</t>
  </si>
  <si>
    <t>PAGO EM:2</t>
  </si>
  <si>
    <t xml:space="preserve"> VIDRO LAM. TEMP. INC. 06+06MM - 515,00</t>
  </si>
  <si>
    <t>VIDRO LAM. INC. 04 + 04MM = 08MM - R$</t>
  </si>
  <si>
    <t>VIDRO LAM. INC. 06 + 06MM = 12MM - R$</t>
  </si>
  <si>
    <t xml:space="preserve">VIDRO LAM. INC. 08 + 10MM = 18MM - R$ </t>
  </si>
  <si>
    <t>VIDRO FUMÊ COMUM 04 MM - R$88,00</t>
  </si>
  <si>
    <t>VALORES POR M2 - EM 28/02/2024</t>
  </si>
  <si>
    <t xml:space="preserve">Amarelo Icaraí </t>
  </si>
  <si>
    <t>Verde Ubatuba</t>
  </si>
  <si>
    <t>Cinza Corumbá</t>
  </si>
  <si>
    <t>Preto São Gabriel</t>
  </si>
  <si>
    <t>ENTREGUE EM (* previsão)</t>
  </si>
  <si>
    <t>Mármore Branco (depende da pedra)</t>
  </si>
  <si>
    <t>R$115,00 m2 inc. 06MM</t>
  </si>
  <si>
    <t>R$110,00 m2 canelado</t>
  </si>
  <si>
    <t>R$105,00 m2 mini boreal</t>
  </si>
  <si>
    <t xml:space="preserve"> ---</t>
  </si>
  <si>
    <t>PAGAR URGENTE</t>
  </si>
  <si>
    <t>AGUARDANDO APRONTAR P/ENTREGAR</t>
  </si>
  <si>
    <t>TOTAL COMPRAS MÊS</t>
  </si>
  <si>
    <r>
      <t xml:space="preserve">SALDO </t>
    </r>
    <r>
      <rPr>
        <sz val="10"/>
        <rFont val="Century Gothic"/>
        <family val="2"/>
        <scheme val="minor"/>
      </rPr>
      <t>DEVEDOR TOTAL</t>
    </r>
  </si>
  <si>
    <t>TOTAL DE COMPRAS MÊS</t>
  </si>
  <si>
    <t>COMPRA TOTAL MÊS</t>
  </si>
  <si>
    <r>
      <t xml:space="preserve">SALDO </t>
    </r>
    <r>
      <rPr>
        <sz val="10"/>
        <rFont val="Century Gothic"/>
        <family val="2"/>
        <scheme val="minor"/>
      </rPr>
      <t>TOTAL DEVEDOR</t>
    </r>
  </si>
  <si>
    <t>COMPRAS TOTAL MÊS</t>
  </si>
  <si>
    <r>
      <t>Sinal</t>
    </r>
    <r>
      <rPr>
        <sz val="10"/>
        <rFont val="Century Gothic"/>
        <family val="2"/>
        <scheme val="minor"/>
      </rPr>
      <t xml:space="preserve"> a PAGAR</t>
    </r>
  </si>
  <si>
    <r>
      <t xml:space="preserve">Saldo </t>
    </r>
    <r>
      <rPr>
        <sz val="10"/>
        <rFont val="Century Gothic"/>
        <family val="2"/>
        <scheme val="minor"/>
      </rPr>
      <t>a PAGAR</t>
    </r>
  </si>
  <si>
    <t>CONTROLE DE COMPRAS E RETIRADAS - RIO PRETO</t>
  </si>
  <si>
    <t>CONTROLE DE COMPRAS E RETIRADAS - VARZIN</t>
  </si>
  <si>
    <t>CONTROLE DE COMPRAS E RETIRADAS - BELÉM</t>
  </si>
  <si>
    <t>CONTROLE DE COMPRAS E RETIRADAS - VIDRAÇO</t>
  </si>
  <si>
    <t>CONTROLE DE COMPRAS E RETIRADAS - ALUMIVAN</t>
  </si>
  <si>
    <t>CONTROLE DE COMPRAS E RETIRADAS - COLORTELHA</t>
  </si>
  <si>
    <t>CONTROLE DE COMPRAS E RETIRADAS - REAL VIDROS</t>
  </si>
  <si>
    <t>CONTROLE DE COMPRAS E RETIRADAS - PRIMAPOX</t>
  </si>
  <si>
    <t>CONTROLE DE COMPRAS E RETIRADAS - NOVA ESSENCIAL</t>
  </si>
  <si>
    <t>AGUARDANDO ROMANEIO</t>
  </si>
  <si>
    <t>BRONZE/FOSCO</t>
  </si>
  <si>
    <t>MADEIRA</t>
  </si>
  <si>
    <t>VIDRO TEMPERADO INCOLOR 10MM - R$242,00</t>
  </si>
  <si>
    <t>VIDRO LAM. INC. 05 + 05MM = 10MM - R$315,00</t>
  </si>
  <si>
    <t>VIDRO LAM. INC. 06 + 06MM = 12MM - R$485,00</t>
  </si>
  <si>
    <t>VIDRO LAM. INC. 04 + 04MM = 08MM - R$268,00</t>
  </si>
  <si>
    <t>VIDRO LAM. INC. 03 + 03MM = 06MM - R$198,00</t>
  </si>
  <si>
    <t>VIDRO TEMPERADO INCOLOR 12MM - R$634,00</t>
  </si>
  <si>
    <t>ESPELHO INCOLOR COMUM 04MM - R$135,00</t>
  </si>
  <si>
    <t>ESPELHO INCOLOR VIVIX LAPIDADO - R$145,00</t>
  </si>
  <si>
    <t>VIDRO MINI BOREAL - R$</t>
  </si>
  <si>
    <t>VIDRO CANELADO - R$</t>
  </si>
  <si>
    <t>VIDRO BRONZE 04 COMUM - R$120,00</t>
  </si>
  <si>
    <t>CONTROLE DE COMPRAS E RETIRADAS - MT METALÚRGICA</t>
  </si>
  <si>
    <t>VIDRO TEMP. LAM. JUMBO INC 6MM - R$ 780,00</t>
  </si>
  <si>
    <t>VIDRO TEMPERADO INCOLOR 06MM - R$128,00</t>
  </si>
  <si>
    <t>VIDRO TEMPERADO INCOLOR 08 MM - R$135,00</t>
  </si>
  <si>
    <t>VIDRO TEMPERADO INCOLOR 10MM - R$206,00</t>
  </si>
  <si>
    <t>TEMP. INC. 08MM - R$141,50</t>
  </si>
  <si>
    <t>TEMP. INC. 10MM - R$209,00</t>
  </si>
  <si>
    <t>TAMANHO DA CHAPA NORMAL: 3,21 X 2,20</t>
  </si>
  <si>
    <r>
      <t xml:space="preserve">CHAPA JUMBO:     </t>
    </r>
    <r>
      <rPr>
        <b/>
        <sz val="14"/>
        <color theme="1"/>
        <rFont val="Century Gothic"/>
        <family val="2"/>
        <scheme val="minor"/>
      </rPr>
      <t>ACRÉSCIMO DE 20%</t>
    </r>
  </si>
  <si>
    <r>
      <t xml:space="preserve">VALORES EM </t>
    </r>
    <r>
      <rPr>
        <b/>
        <sz val="16"/>
        <color theme="1"/>
        <rFont val="Century Gothic"/>
        <family val="2"/>
        <scheme val="minor"/>
      </rPr>
      <t>16/08/23</t>
    </r>
  </si>
  <si>
    <t>REFLECTA BRONZE 04MM - R$ 165,00</t>
  </si>
  <si>
    <t>VIDRO INCOLOR COMUM 04 MM - R$77,44</t>
  </si>
  <si>
    <t>REFELCTA BRONZE/PRATA 04MM - R$ 186,00</t>
  </si>
  <si>
    <t>VIDRO TEMPERADO INC. 08MM - R$ 155,00</t>
  </si>
  <si>
    <t>VIDRO TEMPERADO INC. 10MM - R$ 237,50</t>
  </si>
  <si>
    <t>VIDRO TEMPERADO INC. 12MM - R$ 580,00</t>
  </si>
  <si>
    <t>VIDRO TEMPERADO VER. 08MM - R$ 216,01</t>
  </si>
  <si>
    <t>VIDRO LAM. INC. 12MM - R$ 324,00</t>
  </si>
  <si>
    <t>VIDRO LAM. INC. 08 + 10MM - R$ 542,00</t>
  </si>
  <si>
    <t>VIDRO LAM. VERDE 10 - R$ 309,00</t>
  </si>
  <si>
    <t>VIDRO LAM. VERDE 08 - R$ 272,00</t>
  </si>
  <si>
    <t>VIDRO LAM. VERDE 06 - R$ 226,00</t>
  </si>
  <si>
    <t>CONTROLE DE COMPRAS E RETIRADAS - SMART GLASS</t>
  </si>
  <si>
    <t>TAMANHO DA CHAPA NORMAL: 3,60 X 2,10</t>
  </si>
  <si>
    <t>ENG. 6MM INC - R$ 117,00</t>
  </si>
  <si>
    <t>ENG 8MM INC - R$ 126,60</t>
  </si>
  <si>
    <t>ENG. 10MM INC - R$ 195,20</t>
  </si>
  <si>
    <t>ENG COLORIDO 6MM - R$ 140,80</t>
  </si>
  <si>
    <t>ENG COLORIDO 10MM - R$ 269,75</t>
  </si>
  <si>
    <t>ENG COLORIDO 8MM - R$ 159,50</t>
  </si>
  <si>
    <t>LAM TEMP 6 + 6MM - R$ 570,00</t>
  </si>
  <si>
    <t>BOX PADRÃO INC - R$ 108,80</t>
  </si>
  <si>
    <t>BOX PADRÃO COLORIDO - R$ 140,00</t>
  </si>
  <si>
    <t>PADRÃO (JAN / PORTA / PIVOTANTE) COLORIDO - R$ 147,50</t>
  </si>
  <si>
    <t>PADRÃO (JAN / PORTA / PIVOTANTE) INCOLOR - R$ 120,70</t>
  </si>
  <si>
    <t xml:space="preserve">VIDRO LAM. INC. 06 + 06MM = 12MM - R$962,56 </t>
  </si>
  <si>
    <t>TEMP INC 8MM</t>
  </si>
  <si>
    <t>PG P/ENTREGAR</t>
  </si>
  <si>
    <t>VIDRO INSULADO INC 18MM - R$ 450,00</t>
  </si>
  <si>
    <t>VIDRO LAM. INC. 06MM LAP. R$ 203,00</t>
  </si>
  <si>
    <t>VIDRO LAM. INC. 08MM LAP. R$ 241,00</t>
  </si>
  <si>
    <t>VIDRO LAM. INC. 10MM LAP. R$ 279,00</t>
  </si>
  <si>
    <t>ESPELHO INCOLOR 04MM GUARDIAN - R$ 150,00</t>
  </si>
  <si>
    <t>VIDRO TEMPERADO INCOLOR 08 MM - R$175,00</t>
  </si>
  <si>
    <t>atualizado 07/01/2025</t>
  </si>
  <si>
    <t>MARINA MACIEL</t>
  </si>
  <si>
    <t>CONTROLE DE COMPRAS E RETIRADAS DE VIDROS – SALETE</t>
  </si>
  <si>
    <t>INC. 04 MM</t>
  </si>
  <si>
    <t>PARA DUCHA</t>
  </si>
  <si>
    <t xml:space="preserve">CONTROLE DE COMPRAS E RETIRADAS DE PEDRA MÁRMORE - MARMONIR </t>
  </si>
  <si>
    <t>RETIRADO EM</t>
  </si>
  <si>
    <t>OBS.:</t>
  </si>
  <si>
    <t>CONTROLE DE COMPRAS E RETIRADAS DE VIDROS – FABINHO (CHAGAS CARVALHO)</t>
  </si>
  <si>
    <t>ANOD. FOSCO</t>
  </si>
  <si>
    <t xml:space="preserve">CONTROLE DE COMPRAS E RETIRADAS DE PEDRA MÁRMORE - FALCÃO </t>
  </si>
  <si>
    <t>TEMP. INC. 08 MM</t>
  </si>
  <si>
    <t>VIDRO CANELADO - R$ 100,00</t>
  </si>
  <si>
    <t>VIDRO MINI BOREAL - R$ 100,00</t>
  </si>
  <si>
    <t xml:space="preserve">VIDRO FUMÊ COMUM 04 MM - R$ </t>
  </si>
  <si>
    <t>VIDRO INCOLOR COMUM 04 MM - R$ 72,00</t>
  </si>
  <si>
    <t>VIDRO BRONZE 04 MM - R$ 100,00</t>
  </si>
  <si>
    <t>CONTROLE DE COMPRAS E RETIRADAS DE PEDRA MÁRMORE - MARMORARIA 5.0</t>
  </si>
  <si>
    <t>LIXA - R$ 93,00</t>
  </si>
  <si>
    <t>MINI BOREAL - R$ 93,00</t>
  </si>
  <si>
    <t>VIDRO INCOLOR COMUM 06MM - R$ 110,00</t>
  </si>
  <si>
    <t>VINICIUS E CLAUDIA</t>
  </si>
  <si>
    <t>FRANCISCO DA SILVA OLIVEIRA</t>
  </si>
  <si>
    <t>MÁRCIA HOLLANDA</t>
  </si>
  <si>
    <t>FOSCO</t>
  </si>
  <si>
    <t>DANIEL NUNES</t>
  </si>
  <si>
    <t>LAM. INC. 08 MM</t>
  </si>
  <si>
    <t>LAM. INC. 08 MM LAP. - 298,00</t>
  </si>
  <si>
    <t>TEMP. INC. 10 MM</t>
  </si>
  <si>
    <t xml:space="preserve">FUMÊ 04 MM - R$ 94,00 </t>
  </si>
  <si>
    <t>BRONZE 04MM - R$122,00</t>
  </si>
  <si>
    <t>R$120,00 m2 fumê 04 mm</t>
  </si>
  <si>
    <t>FERNANDA E LEANDRO</t>
  </si>
  <si>
    <t>ESPELHO 04 MM</t>
  </si>
  <si>
    <t>BRONZE 3002</t>
  </si>
  <si>
    <t>MICHEL WURMAN</t>
  </si>
  <si>
    <t>NELSON QUARESMA</t>
  </si>
  <si>
    <t>ELIS NUNES</t>
  </si>
  <si>
    <t>FLÁVIA E VALTER</t>
  </si>
  <si>
    <t>15 X 135 = 03</t>
  </si>
  <si>
    <t>R$90,00 m2 inc. 04 mm</t>
  </si>
  <si>
    <t>PATRICIA E HELIO</t>
  </si>
  <si>
    <t>INSULADO 18,5 MM FUMÊ</t>
  </si>
  <si>
    <t>LUCAS KNUST</t>
  </si>
  <si>
    <t>CROMADO</t>
  </si>
  <si>
    <t>MARINA RZEPA</t>
  </si>
  <si>
    <t>ELIANE LANES</t>
  </si>
  <si>
    <t>MADEIRA LINHEIRO CLARO</t>
  </si>
  <si>
    <t>FALTA 1 VIDRO QUE ESTAVA ARRANHADO</t>
  </si>
  <si>
    <t>ADEZUÍTA</t>
  </si>
  <si>
    <t>INC. 04 MM/ MINI BOREAL</t>
  </si>
  <si>
    <t>ANNE E FABIANO</t>
  </si>
  <si>
    <t>BOX DE CORRER</t>
  </si>
  <si>
    <t>BOX OPEN</t>
  </si>
  <si>
    <t>LUANA LOFEU</t>
  </si>
  <si>
    <t>MINI BOREAL</t>
  </si>
  <si>
    <t>BOX FLEX</t>
  </si>
  <si>
    <t>ISABELLA SALGADO</t>
  </si>
  <si>
    <t>93,4 X 79,2 = 02/ 89,4 X 79,2 = 02</t>
  </si>
  <si>
    <t>LAM. 18 MM (10+8)</t>
  </si>
  <si>
    <t>cobertura</t>
  </si>
  <si>
    <t>127,5 X 210</t>
  </si>
  <si>
    <t>LAM INC 10 MM LAPIDADOS</t>
  </si>
  <si>
    <t>SEBASTIÃO CAVADAS PACHECO</t>
  </si>
  <si>
    <t>MARROM</t>
  </si>
  <si>
    <t>HOMERO</t>
  </si>
  <si>
    <t>83 X 175,5 = 02/ 80,5 X175,5 = 01</t>
  </si>
  <si>
    <t>JAN ÁREA</t>
  </si>
  <si>
    <t>83 X 176</t>
  </si>
  <si>
    <t>FALTA 01 U 681 - LEVAR TUDO PARA NOVA ESSENCIAL PINTAR DE MARROM</t>
  </si>
  <si>
    <t>TROCA DO TUBO DA FERNANDA E SOBRA DE UM PERFIL DA ELIANE LANNES. ÃO PAGAR, POIS SERÁ ABATIDO DA DEVOLUÇÃO DO TG 2" X 1.1/2" PRETO</t>
  </si>
  <si>
    <t>CARLOS GUARANÁ</t>
  </si>
  <si>
    <t>TEMP. INC 08 MM</t>
  </si>
  <si>
    <t>29,0 X 35,3 = 03/ 38,5 X 47,2 = 02</t>
  </si>
  <si>
    <t>133 X 47,2 = 05 - CORTINA DE VIDRO</t>
  </si>
  <si>
    <t>FUMÊ 04 MM</t>
  </si>
  <si>
    <t>74 X 140,3 = 01</t>
  </si>
  <si>
    <t>CARLOS EDUARDO GUARANÁ</t>
  </si>
  <si>
    <t>VANIA REIS</t>
  </si>
  <si>
    <t>FAZER PINT. ELET. BRANCA INTERNA</t>
  </si>
  <si>
    <t>SIMONE MIGUEZ</t>
  </si>
  <si>
    <t>DANIEL MELO</t>
  </si>
  <si>
    <t>HELOISA BANDEIRA</t>
  </si>
  <si>
    <t>LUIZ MOREIRA</t>
  </si>
  <si>
    <t>233,8 X 46,2 = 04 PORTA</t>
  </si>
  <si>
    <t>01 - i 105 LEVAR PARA NOVA ESSENCIAL PINTAR DE MARROM</t>
  </si>
  <si>
    <t>02 PERFIS U CROMADO PARA O BOX ALTURA FORA DE PADRÃO (1 PARA 08 MM E 01 PARA 10 MM)</t>
  </si>
  <si>
    <t>03/3 pago com crédito</t>
  </si>
  <si>
    <t>03/3 pg com, crédito</t>
  </si>
  <si>
    <t>03/3 com crédito</t>
  </si>
  <si>
    <t>FIXOS DO ELEVADOR</t>
  </si>
  <si>
    <t>PORTINHA DE GIRO TEM. INC. 08 MM</t>
  </si>
  <si>
    <t>02 portinhas de giro do elevador COM TRINCO 1335</t>
  </si>
  <si>
    <t>VINICIUS AJUZ</t>
  </si>
  <si>
    <t>VIDRO QUEBROU NA COBERTURA DURANTE A INSTALAÇÃO DOU OUTRO</t>
  </si>
  <si>
    <t>RETIRADO 04/3 POR ROMULO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</si>
</sst>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[$-F800]dddd\,\ mmmm\ dd\,\ yyyy"/>
  </numFmts>
  <fonts count="39" x14ac:knownFonts="1">
    <font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4"/>
      <color theme="0"/>
      <name val="Century Gothic"/>
      <family val="2"/>
      <scheme val="minor"/>
    </font>
    <font>
      <sz val="11"/>
      <name val="Century Gothic"/>
      <family val="2"/>
      <scheme val="minor"/>
    </font>
    <font>
      <sz val="11"/>
      <name val="Century Gothic"/>
      <family val="2"/>
      <scheme val="minor"/>
    </font>
    <font>
      <sz val="1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b/>
      <sz val="1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4"/>
      <color rgb="FFFF0000"/>
      <name val="Century Gothic"/>
      <family val="2"/>
      <scheme val="minor"/>
    </font>
    <font>
      <b/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4"/>
      <name val="Century Gothic"/>
      <family val="2"/>
      <scheme val="minor"/>
    </font>
    <font>
      <b/>
      <sz val="18"/>
      <color theme="0"/>
      <name val="Century Gothic"/>
      <family val="2"/>
      <scheme val="minor"/>
    </font>
    <font>
      <b/>
      <sz val="12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0"/>
      <name val="Century Gothic"/>
      <family val="2"/>
      <scheme val="minor"/>
    </font>
    <font>
      <sz val="10"/>
      <name val="Century Gothic"/>
      <family val="2"/>
      <scheme val="minor"/>
    </font>
    <font>
      <b/>
      <sz val="10"/>
      <color rgb="FFFF0000"/>
      <name val="Century Gothic"/>
      <family val="2"/>
      <scheme val="minor"/>
    </font>
    <font>
      <u/>
      <sz val="11"/>
      <color theme="1"/>
      <name val="Century Gothic"/>
      <family val="2"/>
      <scheme val="minor"/>
    </font>
    <font>
      <b/>
      <sz val="8"/>
      <color rgb="FFFF0000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b/>
      <sz val="10"/>
      <color theme="0"/>
      <name val="Century Gothic"/>
      <family val="2"/>
      <scheme val="minor"/>
    </font>
    <font>
      <sz val="6"/>
      <color theme="1"/>
      <name val="Century Gothic"/>
      <family val="2"/>
      <scheme val="minor"/>
    </font>
    <font>
      <sz val="6"/>
      <color rgb="FFFF0000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8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rgb="FFFF0000"/>
      <name val="Century Gothic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A6E67A"/>
        <bgColor indexed="64"/>
      </patternFill>
    </fill>
    <fill>
      <patternFill patternType="solid">
        <fgColor rgb="FF78F49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44" fontId="0" fillId="0" borderId="0" xfId="1" applyFont="1" applyFill="1" applyBorder="1" applyAlignment="1">
      <alignment horizontal="center"/>
    </xf>
    <xf numFmtId="16" fontId="0" fillId="0" borderId="0" xfId="0" applyNumberFormat="1" applyAlignment="1">
      <alignment horizontal="left"/>
    </xf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12" fillId="0" borderId="0" xfId="0" applyFont="1"/>
    <xf numFmtId="14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fill"/>
    </xf>
    <xf numFmtId="0" fontId="1" fillId="0" borderId="0" xfId="0" applyFont="1" applyAlignment="1">
      <alignment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wrapText="1"/>
    </xf>
    <xf numFmtId="0" fontId="0" fillId="8" borderId="0" xfId="0" applyFill="1" applyAlignment="1">
      <alignment horizontal="left"/>
    </xf>
    <xf numFmtId="14" fontId="0" fillId="8" borderId="0" xfId="0" applyNumberFormat="1" applyFill="1" applyAlignment="1">
      <alignment horizontal="center"/>
    </xf>
    <xf numFmtId="14" fontId="0" fillId="8" borderId="0" xfId="0" applyNumberFormat="1" applyFill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17" fillId="0" borderId="0" xfId="0" applyFont="1" applyAlignment="1">
      <alignment vertical="top"/>
    </xf>
    <xf numFmtId="0" fontId="17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1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14" fontId="0" fillId="0" borderId="0" xfId="1" applyNumberFormat="1" applyFont="1" applyAlignment="1">
      <alignment horizontal="center" vertical="center"/>
    </xf>
    <xf numFmtId="44" fontId="0" fillId="0" borderId="0" xfId="0" applyNumberFormat="1" applyAlignment="1">
      <alignment horizontal="center"/>
    </xf>
    <xf numFmtId="0" fontId="17" fillId="3" borderId="0" xfId="0" applyFont="1" applyFill="1"/>
    <xf numFmtId="8" fontId="17" fillId="3" borderId="0" xfId="0" applyNumberFormat="1" applyFont="1" applyFill="1"/>
    <xf numFmtId="0" fontId="17" fillId="3" borderId="11" xfId="0" applyFont="1" applyFill="1" applyBorder="1"/>
    <xf numFmtId="8" fontId="17" fillId="3" borderId="1" xfId="0" applyNumberFormat="1" applyFont="1" applyFill="1" applyBorder="1"/>
    <xf numFmtId="0" fontId="17" fillId="3" borderId="20" xfId="0" applyFont="1" applyFill="1" applyBorder="1"/>
    <xf numFmtId="8" fontId="17" fillId="3" borderId="11" xfId="0" applyNumberFormat="1" applyFont="1" applyFill="1" applyBorder="1"/>
    <xf numFmtId="0" fontId="17" fillId="3" borderId="18" xfId="0" applyFont="1" applyFill="1" applyBorder="1"/>
    <xf numFmtId="8" fontId="17" fillId="3" borderId="8" xfId="0" applyNumberFormat="1" applyFont="1" applyFill="1" applyBorder="1"/>
    <xf numFmtId="44" fontId="0" fillId="0" borderId="0" xfId="1" applyFont="1" applyBorder="1"/>
    <xf numFmtId="0" fontId="28" fillId="7" borderId="0" xfId="0" applyFont="1" applyFill="1" applyAlignment="1">
      <alignment horizontal="center" vertical="center" wrapText="1"/>
    </xf>
    <xf numFmtId="164" fontId="28" fillId="7" borderId="0" xfId="0" applyNumberFormat="1" applyFont="1" applyFill="1" applyAlignment="1">
      <alignment horizontal="center" vertical="center" wrapText="1"/>
    </xf>
    <xf numFmtId="16" fontId="28" fillId="7" borderId="0" xfId="0" applyNumberFormat="1" applyFont="1" applyFill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27" fillId="13" borderId="9" xfId="0" applyFont="1" applyFill="1" applyBorder="1" applyAlignment="1">
      <alignment horizontal="center" vertical="center" wrapText="1"/>
    </xf>
    <xf numFmtId="0" fontId="17" fillId="3" borderId="1" xfId="0" applyFont="1" applyFill="1" applyBorder="1"/>
    <xf numFmtId="0" fontId="17" fillId="3" borderId="8" xfId="0" applyFont="1" applyFill="1" applyBorder="1"/>
    <xf numFmtId="0" fontId="14" fillId="17" borderId="0" xfId="0" applyFont="1" applyFill="1" applyAlignment="1">
      <alignment horizontal="center"/>
    </xf>
    <xf numFmtId="0" fontId="14" fillId="17" borderId="0" xfId="0" applyFont="1" applyFill="1" applyAlignment="1">
      <alignment horizontal="center" vertical="center"/>
    </xf>
    <xf numFmtId="14" fontId="14" fillId="17" borderId="0" xfId="0" applyNumberFormat="1" applyFont="1" applyFill="1" applyAlignment="1">
      <alignment horizontal="center"/>
    </xf>
    <xf numFmtId="14" fontId="5" fillId="18" borderId="0" xfId="0" applyNumberFormat="1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distributed" vertical="center"/>
    </xf>
    <xf numFmtId="44" fontId="0" fillId="10" borderId="10" xfId="0" applyNumberFormat="1" applyFill="1" applyBorder="1" applyAlignment="1">
      <alignment vertical="center" wrapText="1"/>
    </xf>
    <xf numFmtId="44" fontId="0" fillId="0" borderId="0" xfId="1" applyFont="1" applyAlignment="1">
      <alignment horizontal="center" vertical="center"/>
    </xf>
    <xf numFmtId="14" fontId="17" fillId="0" borderId="0" xfId="0" applyNumberFormat="1" applyFont="1"/>
    <xf numFmtId="0" fontId="0" fillId="6" borderId="9" xfId="0" applyFill="1" applyBorder="1" applyAlignment="1">
      <alignment horizontal="fill" vertical="center"/>
    </xf>
    <xf numFmtId="0" fontId="0" fillId="6" borderId="22" xfId="0" applyFill="1" applyBorder="1" applyAlignment="1">
      <alignment horizontal="fill"/>
    </xf>
    <xf numFmtId="0" fontId="0" fillId="6" borderId="10" xfId="0" applyFill="1" applyBorder="1" applyAlignment="1">
      <alignment horizontal="fill" vertical="center"/>
    </xf>
    <xf numFmtId="0" fontId="0" fillId="6" borderId="9" xfId="0" applyFill="1" applyBorder="1" applyAlignment="1">
      <alignment horizontal="fill"/>
    </xf>
    <xf numFmtId="0" fontId="0" fillId="6" borderId="10" xfId="0" applyFill="1" applyBorder="1" applyAlignment="1">
      <alignment horizontal="fill"/>
    </xf>
    <xf numFmtId="0" fontId="0" fillId="6" borderId="9" xfId="0" applyFill="1" applyBorder="1" applyAlignment="1">
      <alignment horizontal="fill" vertical="center" wrapText="1"/>
    </xf>
    <xf numFmtId="0" fontId="0" fillId="6" borderId="22" xfId="0" applyFill="1" applyBorder="1" applyAlignment="1">
      <alignment horizontal="fill" vertical="center" wrapText="1"/>
    </xf>
    <xf numFmtId="0" fontId="0" fillId="6" borderId="9" xfId="0" applyFill="1" applyBorder="1"/>
    <xf numFmtId="0" fontId="0" fillId="6" borderId="22" xfId="0" applyFill="1" applyBorder="1"/>
    <xf numFmtId="0" fontId="0" fillId="6" borderId="10" xfId="0" applyFill="1" applyBorder="1"/>
    <xf numFmtId="14" fontId="31" fillId="8" borderId="3" xfId="0" applyNumberFormat="1" applyFont="1" applyFill="1" applyBorder="1" applyAlignment="1">
      <alignment horizontal="left" vertical="center"/>
    </xf>
    <xf numFmtId="14" fontId="31" fillId="8" borderId="23" xfId="0" applyNumberFormat="1" applyFont="1" applyFill="1" applyBorder="1" applyAlignment="1">
      <alignment horizontal="left" vertical="center"/>
    </xf>
    <xf numFmtId="14" fontId="31" fillId="8" borderId="0" xfId="0" applyNumberFormat="1" applyFont="1" applyFill="1" applyAlignment="1">
      <alignment horizontal="left" vertical="center"/>
    </xf>
    <xf numFmtId="14" fontId="31" fillId="8" borderId="24" xfId="0" applyNumberFormat="1" applyFont="1" applyFill="1" applyBorder="1" applyAlignment="1">
      <alignment horizontal="left" vertical="center"/>
    </xf>
    <xf numFmtId="14" fontId="12" fillId="0" borderId="0" xfId="0" applyNumberFormat="1" applyFont="1"/>
    <xf numFmtId="14" fontId="31" fillId="8" borderId="5" xfId="0" applyNumberFormat="1" applyFont="1" applyFill="1" applyBorder="1" applyAlignment="1">
      <alignment horizontal="left" vertical="center"/>
    </xf>
    <xf numFmtId="14" fontId="31" fillId="8" borderId="8" xfId="0" applyNumberFormat="1" applyFont="1" applyFill="1" applyBorder="1" applyAlignment="1">
      <alignment horizontal="left" vertical="center"/>
    </xf>
    <xf numFmtId="14" fontId="31" fillId="8" borderId="6" xfId="0" applyNumberFormat="1" applyFont="1" applyFill="1" applyBorder="1" applyAlignment="1">
      <alignment horizontal="left" vertical="center"/>
    </xf>
    <xf numFmtId="0" fontId="0" fillId="8" borderId="7" xfId="0" applyFill="1" applyBorder="1"/>
    <xf numFmtId="14" fontId="0" fillId="8" borderId="7" xfId="0" applyNumberFormat="1" applyFill="1" applyBorder="1"/>
    <xf numFmtId="0" fontId="0" fillId="8" borderId="4" xfId="0" applyFill="1" applyBorder="1"/>
    <xf numFmtId="0" fontId="0" fillId="8" borderId="0" xfId="0" applyFill="1"/>
    <xf numFmtId="14" fontId="0" fillId="8" borderId="0" xfId="0" applyNumberFormat="1" applyFill="1"/>
    <xf numFmtId="0" fontId="0" fillId="8" borderId="24" xfId="0" applyFill="1" applyBorder="1"/>
    <xf numFmtId="0" fontId="0" fillId="4" borderId="0" xfId="0" applyFill="1" applyAlignment="1">
      <alignment horizontal="fill" vertical="center"/>
    </xf>
    <xf numFmtId="0" fontId="0" fillId="4" borderId="0" xfId="0" applyFill="1" applyAlignment="1">
      <alignment horizontal="fill" vertical="center" wrapText="1"/>
    </xf>
    <xf numFmtId="0" fontId="17" fillId="4" borderId="3" xfId="0" applyFont="1" applyFill="1" applyBorder="1" applyAlignment="1">
      <alignment horizontal="fill"/>
    </xf>
    <xf numFmtId="0" fontId="17" fillId="4" borderId="7" xfId="0" applyFont="1" applyFill="1" applyBorder="1" applyAlignment="1">
      <alignment horizontal="fill" vertical="center"/>
    </xf>
    <xf numFmtId="0" fontId="0" fillId="4" borderId="4" xfId="0" applyFill="1" applyBorder="1" applyAlignment="1">
      <alignment horizontal="fill"/>
    </xf>
    <xf numFmtId="0" fontId="0" fillId="4" borderId="23" xfId="0" applyFill="1" applyBorder="1" applyAlignment="1">
      <alignment horizontal="fill"/>
    </xf>
    <xf numFmtId="0" fontId="0" fillId="4" borderId="24" xfId="0" applyFill="1" applyBorder="1" applyAlignment="1">
      <alignment horizontal="fill"/>
    </xf>
    <xf numFmtId="0" fontId="0" fillId="4" borderId="23" xfId="0" applyFill="1" applyBorder="1" applyAlignment="1">
      <alignment horizontal="fill" wrapText="1"/>
    </xf>
    <xf numFmtId="0" fontId="17" fillId="6" borderId="9" xfId="0" applyFont="1" applyFill="1" applyBorder="1" applyAlignment="1">
      <alignment horizontal="fill" vertical="center" wrapText="1"/>
    </xf>
    <xf numFmtId="0" fontId="0" fillId="6" borderId="26" xfId="0" applyFill="1" applyBorder="1"/>
    <xf numFmtId="0" fontId="10" fillId="2" borderId="0" xfId="0" applyFont="1" applyFill="1" applyAlignment="1">
      <alignment vertical="center"/>
    </xf>
    <xf numFmtId="44" fontId="0" fillId="0" borderId="0" xfId="0" applyNumberFormat="1"/>
    <xf numFmtId="14" fontId="13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0" fillId="20" borderId="2" xfId="0" applyFill="1" applyBorder="1"/>
    <xf numFmtId="0" fontId="0" fillId="20" borderId="26" xfId="0" applyFill="1" applyBorder="1"/>
    <xf numFmtId="0" fontId="17" fillId="6" borderId="9" xfId="0" applyFont="1" applyFill="1" applyBorder="1"/>
    <xf numFmtId="0" fontId="17" fillId="6" borderId="9" xfId="0" applyFont="1" applyFill="1" applyBorder="1" applyAlignment="1">
      <alignment horizontal="fill"/>
    </xf>
    <xf numFmtId="0" fontId="17" fillId="6" borderId="23" xfId="0" applyFont="1" applyFill="1" applyBorder="1"/>
    <xf numFmtId="0" fontId="17" fillId="6" borderId="22" xfId="0" applyFont="1" applyFill="1" applyBorder="1" applyAlignment="1">
      <alignment horizontal="fill"/>
    </xf>
    <xf numFmtId="0" fontId="17" fillId="6" borderId="10" xfId="0" applyFont="1" applyFill="1" applyBorder="1" applyAlignment="1">
      <alignment horizontal="fill" vertical="center"/>
    </xf>
    <xf numFmtId="0" fontId="17" fillId="6" borderId="9" xfId="0" applyFont="1" applyFill="1" applyBorder="1" applyAlignment="1">
      <alignment vertical="center"/>
    </xf>
    <xf numFmtId="0" fontId="17" fillId="6" borderId="9" xfId="0" applyFont="1" applyFill="1" applyBorder="1" applyAlignment="1">
      <alignment horizontal="fill" vertical="center"/>
    </xf>
    <xf numFmtId="0" fontId="32" fillId="12" borderId="22" xfId="0" applyFont="1" applyFill="1" applyBorder="1" applyAlignment="1">
      <alignment horizontal="left" vertical="center"/>
    </xf>
    <xf numFmtId="0" fontId="29" fillId="8" borderId="21" xfId="0" applyFont="1" applyFill="1" applyBorder="1" applyAlignment="1">
      <alignment vertical="center"/>
    </xf>
    <xf numFmtId="0" fontId="29" fillId="6" borderId="21" xfId="0" applyFont="1" applyFill="1" applyBorder="1" applyAlignment="1">
      <alignment vertical="center"/>
    </xf>
    <xf numFmtId="16" fontId="30" fillId="5" borderId="21" xfId="0" applyNumberFormat="1" applyFont="1" applyFill="1" applyBorder="1" applyAlignment="1">
      <alignment vertical="center"/>
    </xf>
    <xf numFmtId="0" fontId="0" fillId="21" borderId="21" xfId="0" applyFill="1" applyBorder="1" applyAlignment="1">
      <alignment vertical="center"/>
    </xf>
    <xf numFmtId="14" fontId="17" fillId="0" borderId="0" xfId="0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0" fillId="23" borderId="0" xfId="0" applyNumberFormat="1" applyFill="1" applyAlignment="1">
      <alignment horizontal="center" vertical="center"/>
    </xf>
    <xf numFmtId="44" fontId="0" fillId="23" borderId="0" xfId="0" applyNumberFormat="1" applyFill="1" applyAlignment="1">
      <alignment horizontal="center" vertical="center"/>
    </xf>
    <xf numFmtId="44" fontId="25" fillId="0" borderId="0" xfId="0" applyNumberFormat="1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8" fontId="0" fillId="6" borderId="0" xfId="0" applyNumberFormat="1" applyFill="1"/>
    <xf numFmtId="17" fontId="0" fillId="0" borderId="0" xfId="0" applyNumberFormat="1" applyAlignment="1">
      <alignment horizontal="left"/>
    </xf>
    <xf numFmtId="44" fontId="0" fillId="24" borderId="0" xfId="0" applyNumberFormat="1" applyFill="1" applyAlignment="1">
      <alignment horizontal="center"/>
    </xf>
    <xf numFmtId="14" fontId="0" fillId="24" borderId="0" xfId="0" applyNumberFormat="1" applyFill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44" fontId="0" fillId="0" borderId="31" xfId="1" applyFont="1" applyBorder="1"/>
    <xf numFmtId="0" fontId="0" fillId="0" borderId="31" xfId="0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16" fontId="0" fillId="0" borderId="30" xfId="0" applyNumberFormat="1" applyBorder="1"/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 vertical="center"/>
    </xf>
    <xf numFmtId="14" fontId="4" fillId="11" borderId="0" xfId="0" applyNumberFormat="1" applyFont="1" applyFill="1" applyAlignment="1">
      <alignment horizontal="center"/>
    </xf>
    <xf numFmtId="16" fontId="0" fillId="0" borderId="31" xfId="0" applyNumberFormat="1" applyBorder="1"/>
    <xf numFmtId="14" fontId="0" fillId="0" borderId="0" xfId="0" applyNumberFormat="1" applyAlignment="1">
      <alignment horizontal="left"/>
    </xf>
    <xf numFmtId="0" fontId="4" fillId="26" borderId="0" xfId="0" applyFont="1" applyFill="1" applyAlignment="1">
      <alignment horizontal="center"/>
    </xf>
    <xf numFmtId="0" fontId="4" fillId="26" borderId="0" xfId="0" applyFont="1" applyFill="1" applyAlignment="1">
      <alignment horizontal="center" vertical="center"/>
    </xf>
    <xf numFmtId="14" fontId="4" fillId="26" borderId="0" xfId="0" applyNumberFormat="1" applyFont="1" applyFill="1" applyAlignment="1">
      <alignment horizontal="center"/>
    </xf>
    <xf numFmtId="14" fontId="0" fillId="0" borderId="0" xfId="0" quotePrefix="1" applyNumberForma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7" fillId="2" borderId="8" xfId="0" applyFont="1" applyFill="1" applyBorder="1" applyAlignment="1">
      <alignment horizontal="left"/>
    </xf>
    <xf numFmtId="0" fontId="34" fillId="0" borderId="0" xfId="0" applyFont="1" applyAlignment="1">
      <alignment horizontal="left" vertical="center"/>
    </xf>
    <xf numFmtId="44" fontId="0" fillId="0" borderId="0" xfId="1" applyFont="1"/>
    <xf numFmtId="44" fontId="0" fillId="0" borderId="0" xfId="1" applyFont="1" applyAlignment="1">
      <alignment horizontal="distributed" vertical="center"/>
    </xf>
    <xf numFmtId="0" fontId="4" fillId="8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2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1" fillId="8" borderId="5" xfId="0" applyFont="1" applyFill="1" applyBorder="1" applyAlignment="1">
      <alignment horizontal="left" vertical="center" wrapText="1"/>
    </xf>
    <xf numFmtId="0" fontId="31" fillId="8" borderId="6" xfId="0" applyFont="1" applyFill="1" applyBorder="1" applyAlignment="1">
      <alignment horizontal="left" vertical="center" wrapText="1"/>
    </xf>
    <xf numFmtId="0" fontId="31" fillId="8" borderId="23" xfId="0" applyFont="1" applyFill="1" applyBorder="1" applyAlignment="1">
      <alignment horizontal="left" vertical="center" wrapText="1"/>
    </xf>
    <xf numFmtId="0" fontId="31" fillId="8" borderId="24" xfId="0" applyFont="1" applyFill="1" applyBorder="1" applyAlignment="1">
      <alignment horizontal="left" vertical="center" wrapText="1"/>
    </xf>
    <xf numFmtId="0" fontId="27" fillId="8" borderId="3" xfId="0" applyFont="1" applyFill="1" applyBorder="1" applyAlignment="1">
      <alignment horizontal="left" vertical="center"/>
    </xf>
    <xf numFmtId="0" fontId="27" fillId="8" borderId="4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 textRotation="90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23" xfId="0" applyFont="1" applyFill="1" applyBorder="1" applyAlignment="1">
      <alignment horizontal="center" vertical="center" wrapText="1"/>
    </xf>
    <xf numFmtId="0" fontId="22" fillId="10" borderId="7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14" fontId="27" fillId="13" borderId="3" xfId="0" applyNumberFormat="1" applyFont="1" applyFill="1" applyBorder="1" applyAlignment="1">
      <alignment horizontal="center" vertical="center" wrapText="1"/>
    </xf>
    <xf numFmtId="14" fontId="27" fillId="13" borderId="23" xfId="0" applyNumberFormat="1" applyFont="1" applyFill="1" applyBorder="1" applyAlignment="1">
      <alignment horizontal="center" vertical="center" wrapText="1"/>
    </xf>
    <xf numFmtId="164" fontId="0" fillId="13" borderId="4" xfId="0" applyNumberFormat="1" applyFill="1" applyBorder="1" applyAlignment="1">
      <alignment horizontal="center" vertical="center"/>
    </xf>
    <xf numFmtId="164" fontId="21" fillId="13" borderId="24" xfId="0" applyNumberFormat="1" applyFont="1" applyFill="1" applyBorder="1" applyAlignment="1">
      <alignment horizontal="center" vertical="center"/>
    </xf>
    <xf numFmtId="44" fontId="20" fillId="10" borderId="7" xfId="0" applyNumberFormat="1" applyFont="1" applyFill="1" applyBorder="1" applyAlignment="1">
      <alignment horizontal="center" vertical="center" wrapText="1"/>
    </xf>
    <xf numFmtId="44" fontId="20" fillId="10" borderId="4" xfId="0" applyNumberFormat="1" applyFont="1" applyFill="1" applyBorder="1" applyAlignment="1">
      <alignment horizontal="center" vertical="center" wrapText="1"/>
    </xf>
    <xf numFmtId="44" fontId="20" fillId="10" borderId="0" xfId="0" applyNumberFormat="1" applyFont="1" applyFill="1" applyAlignment="1">
      <alignment horizontal="center" vertical="center" wrapText="1"/>
    </xf>
    <xf numFmtId="44" fontId="20" fillId="10" borderId="24" xfId="0" applyNumberFormat="1" applyFont="1" applyFill="1" applyBorder="1" applyAlignment="1">
      <alignment horizontal="center" vertical="center" wrapText="1"/>
    </xf>
    <xf numFmtId="44" fontId="0" fillId="10" borderId="4" xfId="0" applyNumberFormat="1" applyFill="1" applyBorder="1" applyAlignment="1">
      <alignment horizontal="center" vertical="center" wrapText="1"/>
    </xf>
    <xf numFmtId="44" fontId="21" fillId="10" borderId="24" xfId="0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/>
    </xf>
    <xf numFmtId="0" fontId="22" fillId="10" borderId="23" xfId="0" applyFont="1" applyFill="1" applyBorder="1" applyAlignment="1">
      <alignment horizontal="center" vertical="center"/>
    </xf>
    <xf numFmtId="44" fontId="0" fillId="10" borderId="7" xfId="0" applyNumberFormat="1" applyFill="1" applyBorder="1" applyAlignment="1">
      <alignment horizontal="center" vertical="center" wrapText="1"/>
    </xf>
    <xf numFmtId="44" fontId="21" fillId="10" borderId="0" xfId="0" applyNumberFormat="1" applyFont="1" applyFill="1" applyAlignment="1">
      <alignment horizontal="center" vertical="center" wrapText="1"/>
    </xf>
    <xf numFmtId="0" fontId="32" fillId="12" borderId="23" xfId="0" applyFont="1" applyFill="1" applyBorder="1" applyAlignment="1">
      <alignment horizontal="left" vertical="center" wrapText="1"/>
    </xf>
    <xf numFmtId="0" fontId="32" fillId="1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4" fontId="20" fillId="10" borderId="6" xfId="0" applyNumberFormat="1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44" fontId="0" fillId="13" borderId="7" xfId="0" applyNumberFormat="1" applyFill="1" applyBorder="1" applyAlignment="1">
      <alignment horizontal="center" vertical="center"/>
    </xf>
    <xf numFmtId="44" fontId="21" fillId="13" borderId="4" xfId="0" applyNumberFormat="1" applyFont="1" applyFill="1" applyBorder="1" applyAlignment="1">
      <alignment horizontal="center" vertical="center"/>
    </xf>
    <xf numFmtId="44" fontId="21" fillId="13" borderId="8" xfId="0" applyNumberFormat="1" applyFont="1" applyFill="1" applyBorder="1" applyAlignment="1">
      <alignment horizontal="center" vertical="center"/>
    </xf>
    <xf numFmtId="44" fontId="21" fillId="13" borderId="6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13" borderId="22" xfId="0" applyNumberFormat="1" applyFill="1" applyBorder="1" applyAlignment="1">
      <alignment vertical="center"/>
    </xf>
    <xf numFmtId="44" fontId="21" fillId="13" borderId="10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44" fontId="20" fillId="10" borderId="8" xfId="0" applyNumberFormat="1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7" fillId="13" borderId="5" xfId="0" applyFont="1" applyFill="1" applyBorder="1" applyAlignment="1">
      <alignment horizontal="center" vertical="center" wrapText="1"/>
    </xf>
    <xf numFmtId="44" fontId="0" fillId="13" borderId="7" xfId="0" applyNumberFormat="1" applyFill="1" applyBorder="1" applyAlignment="1">
      <alignment horizontal="center" vertical="center" wrapText="1"/>
    </xf>
    <xf numFmtId="44" fontId="21" fillId="13" borderId="4" xfId="0" applyNumberFormat="1" applyFont="1" applyFill="1" applyBorder="1" applyAlignment="1">
      <alignment horizontal="center" vertical="center" wrapText="1"/>
    </xf>
    <xf numFmtId="44" fontId="21" fillId="13" borderId="8" xfId="0" applyNumberFormat="1" applyFont="1" applyFill="1" applyBorder="1" applyAlignment="1">
      <alignment horizontal="center" vertical="center" wrapText="1"/>
    </xf>
    <xf numFmtId="44" fontId="21" fillId="13" borderId="6" xfId="0" applyNumberFormat="1" applyFont="1" applyFill="1" applyBorder="1" applyAlignment="1">
      <alignment horizontal="center" vertical="center" wrapText="1"/>
    </xf>
    <xf numFmtId="14" fontId="0" fillId="4" borderId="17" xfId="0" applyNumberFormat="1" applyFill="1" applyBorder="1" applyAlignment="1">
      <alignment horizontal="left" vertical="center"/>
    </xf>
    <xf numFmtId="14" fontId="0" fillId="4" borderId="18" xfId="0" applyNumberFormat="1" applyFill="1" applyBorder="1" applyAlignment="1">
      <alignment horizontal="left" vertical="center"/>
    </xf>
    <xf numFmtId="14" fontId="0" fillId="4" borderId="19" xfId="0" applyNumberFormat="1" applyFill="1" applyBorder="1" applyAlignment="1">
      <alignment horizontal="left" vertical="center"/>
    </xf>
    <xf numFmtId="14" fontId="0" fillId="4" borderId="15" xfId="0" applyNumberForma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 vertical="center"/>
    </xf>
    <xf numFmtId="14" fontId="0" fillId="4" borderId="16" xfId="0" applyNumberFormat="1" applyFill="1" applyBorder="1" applyAlignment="1">
      <alignment horizontal="left" vertical="center"/>
    </xf>
    <xf numFmtId="14" fontId="0" fillId="4" borderId="12" xfId="0" applyNumberFormat="1" applyFill="1" applyBorder="1" applyAlignment="1">
      <alignment horizontal="left" vertical="center"/>
    </xf>
    <xf numFmtId="14" fontId="0" fillId="4" borderId="13" xfId="0" applyNumberFormat="1" applyFill="1" applyBorder="1" applyAlignment="1">
      <alignment horizontal="left" vertical="center"/>
    </xf>
    <xf numFmtId="14" fontId="0" fillId="4" borderId="14" xfId="0" applyNumberForma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6" borderId="22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44" fontId="18" fillId="10" borderId="6" xfId="0" applyNumberFormat="1" applyFont="1" applyFill="1" applyBorder="1" applyAlignment="1">
      <alignment horizontal="center" vertical="center" wrapText="1"/>
    </xf>
    <xf numFmtId="44" fontId="18" fillId="10" borderId="4" xfId="0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top" wrapText="1"/>
    </xf>
    <xf numFmtId="0" fontId="22" fillId="10" borderId="5" xfId="0" applyFont="1" applyFill="1" applyBorder="1" applyAlignment="1">
      <alignment horizontal="center" vertical="top" wrapText="1"/>
    </xf>
    <xf numFmtId="0" fontId="1" fillId="2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44" fontId="21" fillId="10" borderId="6" xfId="0" applyNumberFormat="1" applyFont="1" applyFill="1" applyBorder="1" applyAlignment="1">
      <alignment horizontal="center" vertical="center" wrapText="1"/>
    </xf>
    <xf numFmtId="44" fontId="21" fillId="13" borderId="7" xfId="0" applyNumberFormat="1" applyFont="1" applyFill="1" applyBorder="1" applyAlignment="1">
      <alignment horizontal="center" vertical="center" wrapText="1"/>
    </xf>
    <xf numFmtId="0" fontId="6" fillId="17" borderId="0" xfId="0" applyFont="1" applyFill="1" applyAlignment="1">
      <alignment vertical="center"/>
    </xf>
    <xf numFmtId="44" fontId="21" fillId="10" borderId="4" xfId="0" applyNumberFormat="1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7" fillId="6" borderId="9" xfId="0" applyFont="1" applyFill="1" applyBorder="1" applyAlignment="1">
      <alignment horizontal="left" vertical="center"/>
    </xf>
    <xf numFmtId="0" fontId="17" fillId="6" borderId="22" xfId="0" applyFont="1" applyFill="1" applyBorder="1" applyAlignment="1">
      <alignment horizontal="left" vertical="center"/>
    </xf>
    <xf numFmtId="0" fontId="17" fillId="6" borderId="10" xfId="0" applyFont="1" applyFill="1" applyBorder="1" applyAlignment="1">
      <alignment horizontal="left" vertical="center"/>
    </xf>
    <xf numFmtId="0" fontId="14" fillId="18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279"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/>
      </font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rgb="FF3399FF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scheme val="minor"/>
      </font>
      <fill>
        <patternFill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general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[$-F800]dddd\,\ mmmm\ dd\,\ yyyy"/>
      <alignment horizontal="general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</font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entury Gothic"/>
        <scheme val="minor"/>
      </font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distributed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03434"/>
      <color rgb="FFA6E67A"/>
      <color rgb="FF3399FF"/>
      <color rgb="FF78F498"/>
      <color rgb="FF00FFCC"/>
      <color rgb="FFE5CA69"/>
      <color rgb="FF44BD07"/>
      <color rgb="FF765DA3"/>
      <color rgb="FF0066CC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B8:L25" totalsRowShown="0" headerRowDxfId="255" dataDxfId="254">
  <autoFilter ref="B8:L25" xr:uid="{00000000-0009-0000-0100-000002000000}"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00000000-0010-0000-0100-00000C000000}" name="DATA P/ ZÉ" dataDxfId="253"/>
    <tableColumn id="7" xr3:uid="{00000000-0010-0000-0100-000007000000}" name="DATA P/ ADELPE" dataDxfId="252"/>
    <tableColumn id="1" xr3:uid="{00000000-0010-0000-0100-000001000000}" name="PEDIDO" dataDxfId="251"/>
    <tableColumn id="2" xr3:uid="{00000000-0010-0000-0100-000002000000}" name="CLIENTE" dataDxfId="250"/>
    <tableColumn id="3" xr3:uid="{00000000-0010-0000-0100-000003000000}" name="TRATAMENTO" dataDxfId="249"/>
    <tableColumn id="4" xr3:uid="{00000000-0010-0000-0100-000004000000}" name="SINAL" dataDxfId="248"/>
    <tableColumn id="9" xr3:uid="{00000000-0010-0000-0100-000009000000}" name="PAGO DIA" dataDxfId="247"/>
    <tableColumn id="5" xr3:uid="{00000000-0010-0000-0100-000005000000}" name="FINAL" dataDxfId="246"/>
    <tableColumn id="10" xr3:uid="{00000000-0010-0000-0100-00000A000000}" name="PAGO DIA2" dataDxfId="245"/>
    <tableColumn id="6" xr3:uid="{00000000-0010-0000-0100-000006000000}" name="ENTREGUE EM (* previsão)" dataDxfId="244"/>
    <tableColumn id="8" xr3:uid="{00000000-0010-0000-0100-000008000000}" name="INFORMAÇÃO" dataDxfId="24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Tabela4216" displayName="Tabela4216" ref="B6:L23" totalsRowShown="0" headerRowDxfId="278" dataDxfId="277">
  <autoFilter ref="B6:L23" xr:uid="{00000000-0009-0000-0100-00000F000000}"/>
  <tableColumns count="11">
    <tableColumn id="7" xr3:uid="{00000000-0010-0000-0400-000007000000}" name="DATA" dataDxfId="276" totalsRowDxfId="275"/>
    <tableColumn id="1" xr3:uid="{00000000-0010-0000-0400-000001000000}" name="PED." dataDxfId="274" totalsRowDxfId="273"/>
    <tableColumn id="2" xr3:uid="{00000000-0010-0000-0400-000002000000}" name="CLIENTE" dataDxfId="272" totalsRowDxfId="271"/>
    <tableColumn id="3" xr3:uid="{00000000-0010-0000-0400-000003000000}" name="TIPO" dataDxfId="270" totalsRowDxfId="269"/>
    <tableColumn id="4" xr3:uid="{00000000-0010-0000-0400-000004000000}" name="SINAL" dataDxfId="268"/>
    <tableColumn id="5" xr3:uid="{00000000-0010-0000-0400-000005000000}" name="PAGO EM" dataDxfId="267" totalsRowDxfId="266"/>
    <tableColumn id="8" xr3:uid="{00000000-0010-0000-0400-000008000000}" name="FINAL" dataDxfId="265" totalsRowDxfId="264"/>
    <tableColumn id="9" xr3:uid="{00000000-0010-0000-0400-000009000000}" name="PAGO EM2" dataDxfId="263" totalsRowDxfId="262"/>
    <tableColumn id="6" xr3:uid="{00000000-0010-0000-0400-000006000000}" name="RETIRADO EM " dataDxfId="261" totalsRowDxfId="260"/>
    <tableColumn id="10" xr3:uid="{00000000-0010-0000-0400-00000A000000}" name="PRONTO EM:" dataDxfId="259" totalsRowDxfId="258"/>
    <tableColumn id="11" xr3:uid="{00000000-0010-0000-0400-00000B000000}" name="OBS.: " dataDxfId="257" totalsRowDxfId="25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5000000}" name="Tabela42671019" displayName="Tabela42671019" ref="B4:J9" totalsRowShown="0" headerRowDxfId="242" dataDxfId="241">
  <autoFilter ref="B4:J9" xr:uid="{00000000-0009-0000-0100-000012000000}"/>
  <tableColumns count="9">
    <tableColumn id="7" xr3:uid="{00000000-0010-0000-0500-000007000000}" name="DATA" dataDxfId="240"/>
    <tableColumn id="2" xr3:uid="{00000000-0010-0000-0500-000002000000}" name="CLIENTE" dataDxfId="239"/>
    <tableColumn id="3" xr3:uid="{00000000-0010-0000-0500-000003000000}" name="TIPO" dataDxfId="238"/>
    <tableColumn id="4" xr3:uid="{00000000-0010-0000-0500-000004000000}" name="SINAL/ DATA"/>
    <tableColumn id="5" xr3:uid="{00000000-0010-0000-0500-000005000000}" name="PG DIA" dataDxfId="237"/>
    <tableColumn id="9" xr3:uid="{00000000-0010-0000-0500-000009000000}" name="FINAL/ DATA" dataDxfId="236"/>
    <tableColumn id="8" xr3:uid="{00000000-0010-0000-0500-000008000000}" name="PG DIA2" dataDxfId="235"/>
    <tableColumn id="6" xr3:uid="{00000000-0010-0000-0500-000006000000}" name="RETIRADO EM " dataDxfId="234"/>
    <tableColumn id="10" xr3:uid="{00000000-0010-0000-0500-00000A000000}" name="INFORMAÇÕES" dataDxfId="23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Tabela42617" displayName="Tabela42617" ref="B6:L7" insertRow="1" totalsRowShown="0" headerRowDxfId="232">
  <autoFilter ref="B6:L7" xr:uid="{00000000-0009-0000-0100-000010000000}"/>
  <tableColumns count="11">
    <tableColumn id="7" xr3:uid="{00000000-0010-0000-0600-000007000000}" name="DATA" dataDxfId="231"/>
    <tableColumn id="2" xr3:uid="{00000000-0010-0000-0600-000002000000}" name="CLIENTE" dataDxfId="230"/>
    <tableColumn id="13" xr3:uid="{2D3BF01E-CFAC-42F5-B3D9-41C5A7303E4E}" name="PEDIDO" dataDxfId="229"/>
    <tableColumn id="3" xr3:uid="{00000000-0010-0000-0600-000003000000}" name="TIPO" dataDxfId="228"/>
    <tableColumn id="4" xr3:uid="{00000000-0010-0000-0600-000004000000}" name="SINAL" dataDxfId="227"/>
    <tableColumn id="8" xr3:uid="{00000000-0010-0000-0600-000008000000}" name="PAGO EM" dataDxfId="226"/>
    <tableColumn id="5" xr3:uid="{00000000-0010-0000-0600-000005000000}" name="FINAL" dataDxfId="225"/>
    <tableColumn id="9" xr3:uid="{00000000-0010-0000-0600-000009000000}" name="PAGO EM " dataDxfId="224"/>
    <tableColumn id="6" xr3:uid="{00000000-0010-0000-0600-000006000000}" name="RETIRADO EM " dataDxfId="223"/>
    <tableColumn id="10" xr3:uid="{00000000-0010-0000-0600-00000A000000}" name="PRONTO " dataDxfId="222"/>
    <tableColumn id="1" xr3:uid="{488E3136-3026-4092-871C-B0F7F4B543D7}" name="OBSERVAÇÕES" dataDxfId="22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4AE576-8CDC-4BAA-90E0-CFBC600AD185}" name="Tabela4267184" displayName="Tabela4267184" ref="B6:L7" totalsRowShown="0" headerRowDxfId="220" dataDxfId="219">
  <autoFilter ref="B6:L7" xr:uid="{0E7A3631-B22A-44D5-834D-1A453F3E3AA3}"/>
  <tableColumns count="11">
    <tableColumn id="7" xr3:uid="{94A6ADFC-451F-43F1-9A40-BE1B46A57CCB}" name="DATA" dataDxfId="218"/>
    <tableColumn id="2" xr3:uid="{3C2DB609-71AB-4F1D-8D33-56386E9578E2}" name="CLIENTE" dataDxfId="217"/>
    <tableColumn id="1" xr3:uid="{DD37225D-BDE9-40E1-A10D-1758A69C8212}" name="PEDIDO" dataDxfId="216"/>
    <tableColumn id="3" xr3:uid="{8DC702B7-772B-4415-9CC9-0BA2AC918AE1}" name="TIPO" dataDxfId="215"/>
    <tableColumn id="4" xr3:uid="{FF298303-F9D7-4EE3-8184-33A328A4EC8C}" name="SINAL/ TOTAL" dataDxfId="214"/>
    <tableColumn id="9" xr3:uid="{62842244-4CAC-473E-8531-5415D64BA8AB}" name="PAGO EM" dataDxfId="213"/>
    <tableColumn id="8" xr3:uid="{DE0B99F8-53A1-43D2-9E7B-D7FC7FC96808}" name="FINAL" dataDxfId="212"/>
    <tableColumn id="5" xr3:uid="{ED464AFF-5F0A-4E4E-8E77-B0E711291EA6}" name="PG DIA" dataDxfId="211"/>
    <tableColumn id="6" xr3:uid="{45F2346F-561A-4B78-BCB4-7DEAB02A1B91}" name="RETIRADO EM " dataDxfId="210"/>
    <tableColumn id="10" xr3:uid="{5FD09707-65AF-4ED1-8A64-A458B3FBDD29}" name="PRONTO EM" dataDxfId="209"/>
    <tableColumn id="11" xr3:uid="{A3BB0D28-4BA4-4D3D-8F72-C82D77C8B271}" name="INFORMAÇÕES" dataDxfId="208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5D811D-B569-4621-A770-02235F9FE3F1}" name="Tabela4" displayName="Tabela4" ref="A3:I4" insertRow="1" totalsRowShown="0" headerRowDxfId="207" headerRowBorderDxfId="206" tableBorderDxfId="205" totalsRowBorderDxfId="204">
  <autoFilter ref="A3:I4" xr:uid="{1D229CAF-174D-44B4-BAC1-91B8632E1AF3}"/>
  <tableColumns count="9">
    <tableColumn id="1" xr3:uid="{EED395D0-F216-4043-973C-4FC28D15B51D}" name="DATA" dataDxfId="203"/>
    <tableColumn id="2" xr3:uid="{8452AA77-4B39-4DFB-90FA-09AC01D054A5}" name="CLIENTE" dataDxfId="202"/>
    <tableColumn id="3" xr3:uid="{0BB6BE90-72F7-4A92-A0F2-6CD7BB26D010}" name="TIPO" dataDxfId="201"/>
    <tableColumn id="4" xr3:uid="{CB9BC7B9-20B4-4FDF-A0DE-41101A22684E}" name="SINAL" dataDxfId="200"/>
    <tableColumn id="5" xr3:uid="{5A451818-508C-4792-BB2D-332672FD2C87}" name="PG DIA" dataDxfId="199"/>
    <tableColumn id="6" xr3:uid="{D2B34034-626F-49AC-BDB1-2DD66CFFCB25}" name="FINAL/ DATA" dataDxfId="198"/>
    <tableColumn id="7" xr3:uid="{9B400DA8-A7EA-4AD8-A516-379A5D41D63B}" name="PG DIA2" dataDxfId="197"/>
    <tableColumn id="8" xr3:uid="{1A728462-8CB1-4B5F-ADE3-B7AAFCA93378}" name="RETIRADO EM" dataDxfId="196"/>
    <tableColumn id="9" xr3:uid="{1BF99CDF-B318-4561-9A34-7260ADFF93D9}" name="OBS.:" dataDxfId="1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Tabela426718" displayName="Tabela426718" ref="B6:L7" insertRow="1" totalsRowShown="0" headerRowDxfId="194" dataDxfId="193">
  <autoFilter ref="B6:L7" xr:uid="{00000000-0009-0000-0100-000011000000}"/>
  <tableColumns count="11">
    <tableColumn id="7" xr3:uid="{00000000-0010-0000-0700-000007000000}" name="DATA" dataDxfId="192"/>
    <tableColumn id="2" xr3:uid="{00000000-0010-0000-0700-000002000000}" name="CLIENTE" dataDxfId="191"/>
    <tableColumn id="1" xr3:uid="{4191BFDA-F5E2-46C0-AF68-96EB2E2DFAFC}" name="PEDIDO" dataDxfId="190"/>
    <tableColumn id="3" xr3:uid="{00000000-0010-0000-0700-000003000000}" name="TIPO" dataDxfId="189"/>
    <tableColumn id="4" xr3:uid="{00000000-0010-0000-0700-000004000000}" name="SINAL/ TOTAL" dataDxfId="188"/>
    <tableColumn id="9" xr3:uid="{00000000-0010-0000-0700-000009000000}" name="PAGO EM" dataDxfId="187"/>
    <tableColumn id="8" xr3:uid="{00000000-0010-0000-0700-000008000000}" name="FINAL" dataDxfId="186"/>
    <tableColumn id="5" xr3:uid="{00000000-0010-0000-0700-000005000000}" name="PG DIA" dataDxfId="185"/>
    <tableColumn id="6" xr3:uid="{00000000-0010-0000-0700-000006000000}" name="RETIRADO EM " dataDxfId="184"/>
    <tableColumn id="10" xr3:uid="{00000000-0010-0000-0700-00000A000000}" name="PRONTO EM" dataDxfId="183"/>
    <tableColumn id="11" xr3:uid="{00000000-0010-0000-0700-00000B000000}" name="INFORMAÇÕES" dataDxfId="182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ela48" displayName="Tabela48" ref="B19:L20" insertRow="1" totalsRowShown="0" headerRowDxfId="181" dataDxfId="180">
  <autoFilter ref="B19:L20" xr:uid="{00000000-0009-0000-0100-000007000000}"/>
  <tableColumns count="11">
    <tableColumn id="1" xr3:uid="{00000000-0010-0000-0A00-000001000000}" name="DATA" dataDxfId="179"/>
    <tableColumn id="2" xr3:uid="{00000000-0010-0000-0A00-000002000000}" name="CLIENTE" dataDxfId="178"/>
    <tableColumn id="8" xr3:uid="{F1834A8A-2778-4E37-A6F9-AA9C1954877B}" name="PEDIDO" dataDxfId="177"/>
    <tableColumn id="3" xr3:uid="{00000000-0010-0000-0A00-000003000000}" name="TIPO" dataDxfId="176"/>
    <tableColumn id="4" xr3:uid="{00000000-0010-0000-0A00-000004000000}" name="SINAL" dataDxfId="175"/>
    <tableColumn id="5" xr3:uid="{00000000-0010-0000-0A00-000005000000}" name="PAGO EM:" dataDxfId="174"/>
    <tableColumn id="11" xr3:uid="{79A1260E-CA89-4492-972E-E6FFCDFC75A2}" name="SALDO" dataDxfId="173"/>
    <tableColumn id="10" xr3:uid="{F16CA350-8B81-4EC6-8673-ABC284BB27BA}" name="PAGO EM:2" dataDxfId="172"/>
    <tableColumn id="6" xr3:uid="{00000000-0010-0000-0A00-000006000000}" name="RETIRADO EM " dataDxfId="171"/>
    <tableColumn id="7" xr3:uid="{00000000-0010-0000-0A00-000007000000}" name="PRONTA EM:" dataDxfId="170"/>
    <tableColumn id="9" xr3:uid="{B3C97551-9BF1-45F7-A857-D696C0EB639D}" name="OBSERVAÇÃO" dataDxfId="169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835C9C-C150-4299-BE33-ED860559517C}" name="Tabela486" displayName="Tabela486" ref="B6:L7" insertRow="1" totalsRowShown="0" headerRowDxfId="168" dataDxfId="167">
  <autoFilter ref="B6:L7" xr:uid="{375905BE-929D-4AA1-ADCA-81B8E2ABFCD4}"/>
  <tableColumns count="11">
    <tableColumn id="1" xr3:uid="{0F9DFEEF-0820-4FA5-B562-F5E306B4C1E3}" name="DATA" dataDxfId="166"/>
    <tableColumn id="2" xr3:uid="{13ED6E8A-26EF-4C18-A2D2-C5F4277718C0}" name="CLIENTE" dataDxfId="165"/>
    <tableColumn id="8" xr3:uid="{4E8C4BED-8B18-4AAF-B037-BD8383D6AEB5}" name="PEDIDO" dataDxfId="164"/>
    <tableColumn id="3" xr3:uid="{DF5413B4-DC72-4515-B3D9-617369EE7BC5}" name="TIPO" dataDxfId="163"/>
    <tableColumn id="4" xr3:uid="{4EEA481B-E72B-42E2-8442-FDB8C1EE60DC}" name="SINAL" dataDxfId="162"/>
    <tableColumn id="5" xr3:uid="{8FD45252-88A2-4922-9682-BDD405AC2E17}" name="PAGO EM:" dataDxfId="161"/>
    <tableColumn id="11" xr3:uid="{7C6EB0AD-84D7-47E5-92D2-623294AB7489}" name="SALDO" dataDxfId="160"/>
    <tableColumn id="10" xr3:uid="{74E524D5-61E3-4775-BC7C-E49431128670}" name="PAGO EM:2" dataDxfId="159"/>
    <tableColumn id="6" xr3:uid="{50252EC8-9480-4D1D-A7CE-29C50B764A67}" name="RETIRADO EM " dataDxfId="158"/>
    <tableColumn id="7" xr3:uid="{C40CC680-414E-4ED6-B0D7-CCC393656ACD}" name="PRONTA EM:" dataDxfId="157"/>
    <tableColumn id="9" xr3:uid="{43A632A5-E914-462C-AFBA-0E6B110FB585}" name="OBSERVAÇÃO" dataDxfId="156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F321C0-9E12-488B-A844-ED0B1FE49B21}" name="Tabela6" displayName="Tabela6" ref="B13:L14" insertRow="1" totalsRowShown="0" headerRowDxfId="155" dataDxfId="154">
  <autoFilter ref="B13:L14" xr:uid="{845F6590-3456-4D43-AACE-4EE44443693E}"/>
  <tableColumns count="11">
    <tableColumn id="1" xr3:uid="{9EE5F5C9-EF14-475A-8AF8-A5B06D72266E}" name="DATA" dataDxfId="153"/>
    <tableColumn id="2" xr3:uid="{CA483B3C-C83B-4148-B8D9-521194FEBCD7}" name="CLIENTE" dataDxfId="152"/>
    <tableColumn id="3" xr3:uid="{34890BEA-6CDA-4E43-9EDC-B0DCB06BE0EC}" name="PEDIDO" dataDxfId="151"/>
    <tableColumn id="4" xr3:uid="{939ACADB-59C9-463B-8D35-17DFE6EB9F21}" name="TIPO" dataDxfId="150"/>
    <tableColumn id="5" xr3:uid="{68986698-E06A-4FF4-8506-499468772439}" name="SINAL" dataDxfId="149"/>
    <tableColumn id="6" xr3:uid="{7DE807F9-FE8F-4AE3-881C-F99C541312D1}" name="PAGO EM:" dataDxfId="148"/>
    <tableColumn id="7" xr3:uid="{539D581D-A402-4C3F-993E-8FA17CA2D784}" name="SALDO" dataDxfId="147"/>
    <tableColumn id="8" xr3:uid="{70C5819D-41AF-4DC1-AF0A-4E3F20427F06}" name="PAGO EM:2" dataDxfId="146"/>
    <tableColumn id="9" xr3:uid="{346EDC2E-DA92-433A-88A8-67F070C56161}" name="RETIRADO EM " dataDxfId="145"/>
    <tableColumn id="10" xr3:uid="{8E5BFB4E-67F7-46D4-967A-86FD71683612}" name="PRONTA EM:" dataDxfId="144"/>
    <tableColumn id="11" xr3:uid="{C0135335-0053-44DA-A3EA-1D10DEB5A5AE}" name="OBSERVAÇÃO" dataDxfId="143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12D4C4C-D660-47E2-82A9-D38C54FA2C5B}" name="Tabela48131423" displayName="Tabela48131423" ref="B6:L7" insertRow="1" totalsRowShown="0" headerRowDxfId="142" dataDxfId="141">
  <autoFilter ref="B6:L7" xr:uid="{51B14D65-B43A-43A1-91BD-127C270361DE}"/>
  <tableColumns count="11">
    <tableColumn id="1" xr3:uid="{D7BE0B54-C2DC-4D09-8027-4A66FB49FC58}" name="DATA" dataDxfId="140"/>
    <tableColumn id="2" xr3:uid="{9E61F6A7-938E-43B7-B385-E05AB3AF879C}" name="CLIENTE" dataDxfId="139"/>
    <tableColumn id="8" xr3:uid="{0C370F78-728C-41C9-ADD9-1BFCBC72B1F1}" name="PEDIDO" dataDxfId="138"/>
    <tableColumn id="3" xr3:uid="{DDF19512-90BF-4669-891E-F12E8D9110C9}" name="TIPO" dataDxfId="137"/>
    <tableColumn id="4" xr3:uid="{2E9FB7F2-4732-4D87-A577-CC955DB125F6}" name="SINAL" dataDxfId="136"/>
    <tableColumn id="5" xr3:uid="{D715033D-83CD-4B6F-87B8-2F509DA1A848}" name="PAGO EM:" dataDxfId="135"/>
    <tableColumn id="11" xr3:uid="{6357FE26-DC21-4948-9693-F0EDA1AD40BB}" name="SALDO" dataDxfId="134"/>
    <tableColumn id="10" xr3:uid="{6BC585C8-364E-496C-A0AF-F241B336797B}" name="PAGO EM:2" dataDxfId="133"/>
    <tableColumn id="6" xr3:uid="{C8BFC22F-62DF-47E0-9D36-AD0360E8202E}" name="RETIRADO EM " dataDxfId="132"/>
    <tableColumn id="7" xr3:uid="{B1AD3139-7B06-483B-9B3C-3D0512619DF6}" name="PRONTA EM:" dataDxfId="131"/>
    <tableColumn id="9" xr3:uid="{C72F5578-6CD9-497C-992D-833CDC7D8609}" name="OBSERVAÇÃO" dataDxfId="130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99FF91-EFDF-4B6F-B21D-EFEBC335FA49}" name="Tabela481326" displayName="Tabela481326" ref="B6:L7" insertRow="1" totalsRowShown="0" headerRowDxfId="129" dataDxfId="128">
  <autoFilter ref="B6:L7" xr:uid="{A5587595-184F-41AA-8AB8-E1595EF65C6A}"/>
  <tableColumns count="11">
    <tableColumn id="1" xr3:uid="{89A28540-04B2-44EC-A455-CCD596FD7D18}" name="DATA" dataDxfId="127"/>
    <tableColumn id="2" xr3:uid="{B5780340-ED90-48CD-B0A9-6F86E53A0BA3}" name="CLIENTE" dataDxfId="126"/>
    <tableColumn id="8" xr3:uid="{60D67BEF-CF3E-46FF-811E-D2C358D4057F}" name="PEDIDO" dataDxfId="125"/>
    <tableColumn id="3" xr3:uid="{5661E983-A8DB-4EB5-969D-2CDED4745D0C}" name="TIPO" dataDxfId="124"/>
    <tableColumn id="4" xr3:uid="{3F5F709F-80F6-4378-9F7D-C39C87A49F7F}" name="SINAL" dataDxfId="123"/>
    <tableColumn id="5" xr3:uid="{90D0C05F-F566-4171-87F8-6274E89738AB}" name="PAGO EM:" dataDxfId="122"/>
    <tableColumn id="11" xr3:uid="{065A1160-68ED-47CF-81AA-F08777C7474D}" name="SALDO" dataDxfId="121"/>
    <tableColumn id="10" xr3:uid="{A01E7A45-877A-4539-A8A0-B70CC5C6242C}" name="PAGO EM:2" dataDxfId="120"/>
    <tableColumn id="6" xr3:uid="{5792F494-C559-4999-AEF4-F821C6CF6DF7}" name="RETIRADO EM " dataDxfId="119"/>
    <tableColumn id="7" xr3:uid="{851E602A-8FB4-4545-B1A0-629851CB5777}" name="PRONTA EM:" dataDxfId="118"/>
    <tableColumn id="9" xr3:uid="{6264759E-56F0-47ED-8313-1EF3527D48A2}" name="OBSERVAÇÃO" dataDxfId="117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1D785A-6965-4FB0-934F-021E72C71045}" name="Tabela4813" displayName="Tabela4813" ref="B6:L7" insertRow="1" totalsRowShown="0" headerRowDxfId="116" dataDxfId="115">
  <autoFilter ref="B6:L7" xr:uid="{9D8299CD-C998-4BFC-8D81-464ACE5EE6FA}"/>
  <tableColumns count="11">
    <tableColumn id="1" xr3:uid="{DA800D8C-B72B-4D80-A29F-8E1F64D378B9}" name="DATA" dataDxfId="114"/>
    <tableColumn id="2" xr3:uid="{35142F48-1FF8-4C2D-868D-EE3F47B6A788}" name="CLIENTE" dataDxfId="113"/>
    <tableColumn id="8" xr3:uid="{A3FE5F0C-CB84-4619-A9CD-8F76563EBD14}" name="PEDIDO" dataDxfId="112"/>
    <tableColumn id="3" xr3:uid="{B1F81FD4-86BA-4CBC-ADEF-09FBA5E8AF20}" name="TIPO" dataDxfId="111"/>
    <tableColumn id="4" xr3:uid="{E6ADBBBA-D049-4D14-8552-F149C6A49991}" name="SINAL" dataDxfId="110"/>
    <tableColumn id="5" xr3:uid="{8F5B1F85-0369-4755-ADEA-44527A72F961}" name="PAGO EM:" dataDxfId="109"/>
    <tableColumn id="11" xr3:uid="{76AEA12E-31FA-42C3-A13C-F084D2CF37BB}" name="SALDO" dataDxfId="108"/>
    <tableColumn id="10" xr3:uid="{891DA0DB-E435-4DF5-886E-21FCB290C7B1}" name="PAGO EM:2" dataDxfId="107"/>
    <tableColumn id="6" xr3:uid="{738CB705-C0EF-4671-9C68-C58E46DB37E9}" name="RETIRADO EM " dataDxfId="106"/>
    <tableColumn id="7" xr3:uid="{320CC969-6DFF-4EB3-8CC7-CA01AA2537AA}" name="PRONTA EM:" dataDxfId="105"/>
    <tableColumn id="9" xr3:uid="{4272F1DA-C33A-4AB6-B124-8E5429541243}" name="OBSERVAÇÃO" dataDxfId="104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4673B2-4E11-48FC-84CB-6BE546E2AE8D}" name="Tabela481314" displayName="Tabela481314" ref="B6:L17" totalsRowShown="0" headerRowDxfId="103" dataDxfId="102">
  <autoFilter ref="B6:L17" xr:uid="{397E47C7-49BA-40A0-B68F-5D8246C1C321}"/>
  <tableColumns count="11">
    <tableColumn id="1" xr3:uid="{1E01269F-8A20-43EA-9F04-50B4B9CD9B7C}" name="DATA" dataDxfId="101"/>
    <tableColumn id="2" xr3:uid="{C1975E5E-EC4E-4F60-9DFE-9417D051C875}" name="CLIENTE" dataDxfId="100"/>
    <tableColumn id="8" xr3:uid="{820D4E21-5527-4F27-AE6A-BBEE65A162B9}" name="PEDIDO" dataDxfId="99"/>
    <tableColumn id="3" xr3:uid="{DAD4DE7F-3D3D-4186-809C-584190270CBF}" name="TIPO" dataDxfId="98"/>
    <tableColumn id="4" xr3:uid="{B196E66D-CD65-4C56-9510-4203C66BC03E}" name="SINAL" dataDxfId="97"/>
    <tableColumn id="5" xr3:uid="{C95D2534-AB6B-4AE3-AE6B-AF464AD0C087}" name="PAGO EM:" dataDxfId="96"/>
    <tableColumn id="11" xr3:uid="{88C134B5-2525-461D-BFF0-A6B979F335BA}" name="SALDO" dataDxfId="95"/>
    <tableColumn id="10" xr3:uid="{D617A5A6-526A-49FC-A0CD-8095E84AC977}" name="PAGO EM:2" dataDxfId="94"/>
    <tableColumn id="6" xr3:uid="{CFC4C7A9-F89C-495E-AA66-2AB97FAE3157}" name="RETIRADO EM " dataDxfId="93"/>
    <tableColumn id="7" xr3:uid="{FAE85301-8279-4463-99D2-BC953EA075B1}" name="PRONTA EM:" dataDxfId="92"/>
    <tableColumn id="9" xr3:uid="{DF8B14D3-4156-46FB-98D0-514B1E5330C9}" name="OBSERVAÇÃO" dataDxfId="91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25E2150-4A3E-47BA-A616-BAD94726B2EB}" name="Tabela4813141520" displayName="Tabela4813141520" ref="B6:L8" totalsRowShown="0" headerRowDxfId="90" dataDxfId="89">
  <autoFilter ref="B6:L8" xr:uid="{F0F0101A-AFC1-41ED-9EDA-5D3078854599}"/>
  <tableColumns count="11">
    <tableColumn id="1" xr3:uid="{7B85044C-6DD7-43A5-8685-4521EF71078C}" name="DATA" dataDxfId="88"/>
    <tableColumn id="2" xr3:uid="{8D3E183E-B0FF-4F70-8A8C-E77623727C1C}" name="CLIENTE" dataDxfId="87"/>
    <tableColumn id="8" xr3:uid="{702E017B-E7EB-47C5-BE75-1E90B1912712}" name="PEDIDO" dataDxfId="86"/>
    <tableColumn id="3" xr3:uid="{35FFD362-F3DF-4633-AC12-1BDD1A3AB21E}" name="TIPO" dataDxfId="85"/>
    <tableColumn id="4" xr3:uid="{E09881E9-E03F-4BBA-9956-AC0E3D5FC3D7}" name="SINAL" dataDxfId="84"/>
    <tableColumn id="5" xr3:uid="{F27AD91F-B710-4B34-A70F-0E51FA09815C}" name="PAGO EM:" dataDxfId="83"/>
    <tableColumn id="11" xr3:uid="{5A0B0AD7-60B1-496F-9B25-B75713B45653}" name="SALDO" dataDxfId="82"/>
    <tableColumn id="10" xr3:uid="{05C236DE-1705-4A53-B6E4-A76D857CB4BF}" name="PAGO EM:2" dataDxfId="81"/>
    <tableColumn id="6" xr3:uid="{3A92BEF9-C6FA-472D-A953-99922C5F7826}" name="RETIRADO EM " dataDxfId="80"/>
    <tableColumn id="7" xr3:uid="{04EBDF18-27ED-457E-99FB-E43675C13FC9}" name="PRONTA EM:" dataDxfId="79"/>
    <tableColumn id="9" xr3:uid="{B0B0D72D-0BFA-436A-9639-4AFE160FA031}" name="OBSERVAÇÃO" dataDxfId="78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2F6504A-0FF5-422A-9211-99DE600C4D5F}" name="Tabela481314152021222425" displayName="Tabela481314152021222425" ref="B6:L16" totalsRowShown="0" headerRowDxfId="77" dataDxfId="76">
  <autoFilter ref="B6:L16" xr:uid="{261928F3-0349-47BE-A47C-B84305EF6EA4}"/>
  <tableColumns count="11">
    <tableColumn id="1" xr3:uid="{9EAFB6E2-BB3D-44FB-A700-36D5D6586A5C}" name="DATA" dataDxfId="75"/>
    <tableColumn id="2" xr3:uid="{8C87A0BF-12BE-4878-B6F6-157A1B8DEE34}" name="CLIENTE" dataDxfId="74"/>
    <tableColumn id="8" xr3:uid="{454952C6-3373-49E8-B769-231C5521E604}" name="PEDIDO" dataDxfId="73"/>
    <tableColumn id="3" xr3:uid="{F10B35AC-82BC-458A-B025-5B6BBF5F1938}" name="TIPO" dataDxfId="72"/>
    <tableColumn id="4" xr3:uid="{B6205B74-53BF-47AD-B09C-26CB58793A2A}" name="SINAL" dataDxfId="71"/>
    <tableColumn id="5" xr3:uid="{DCFB753B-7691-4289-85D8-6E2DE4D3E5A6}" name="PAGO EM:" dataDxfId="70"/>
    <tableColumn id="11" xr3:uid="{B45FF39C-F513-4677-AF42-4D341AB4E71A}" name="SALDO" dataDxfId="69"/>
    <tableColumn id="10" xr3:uid="{E63F09B6-BC5E-4E1D-AD60-9E8966529849}" name="PAGO EM:2" dataDxfId="68"/>
    <tableColumn id="6" xr3:uid="{B7CD3917-FFF9-4931-BDF6-CC1E12144E42}" name="RETIRADO EM " dataDxfId="67"/>
    <tableColumn id="7" xr3:uid="{DA7121F8-317C-47C1-856E-60DBFF196002}" name="PRONTA EM:" dataDxfId="66"/>
    <tableColumn id="9" xr3:uid="{E819A66A-880F-4B64-8507-D55E88C979D3}" name="OBSERVAÇÃO" dataDxfId="65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B90B52-56B5-48E1-90BD-9483EC92724B}" name="Tabela48131415" displayName="Tabela48131415" ref="B6:L17" totalsRowShown="0" headerRowDxfId="64" dataDxfId="63">
  <autoFilter ref="B6:L17" xr:uid="{2F639B6F-AF02-4F92-AABF-F556571FA495}"/>
  <tableColumns count="11">
    <tableColumn id="1" xr3:uid="{A642F434-263F-483D-AE07-E57D52805541}" name="DATA" dataDxfId="62"/>
    <tableColumn id="2" xr3:uid="{668C66C2-8676-437E-B329-11A12A068AA5}" name="CLIENTE" dataDxfId="61"/>
    <tableColumn id="8" xr3:uid="{6520D971-9E91-4812-B2AE-6C000D28AE49}" name="PEDIDO" dataDxfId="60"/>
    <tableColumn id="3" xr3:uid="{F2899C37-8DE3-47B6-B275-46BD9F391C1B}" name="TIPO" dataDxfId="59"/>
    <tableColumn id="4" xr3:uid="{1A469B5E-1014-4937-AE12-F6DC758CAAC8}" name="SINAL" dataDxfId="58"/>
    <tableColumn id="5" xr3:uid="{3808D901-FFDD-4155-88C8-18B8FD49BF4E}" name="PAGO EM:" dataDxfId="57"/>
    <tableColumn id="11" xr3:uid="{86A0AC47-BF5D-4B9C-8A57-2A9971CFE871}" name="SALDO" dataDxfId="56"/>
    <tableColumn id="10" xr3:uid="{B0183D69-834D-4C07-A358-9C5B98993786}" name="PAGO EM:2" dataDxfId="55"/>
    <tableColumn id="6" xr3:uid="{EE81EDE4-D99E-4706-A23B-7EC066CF4BFA}" name="RETIRADO EM " dataDxfId="54"/>
    <tableColumn id="7" xr3:uid="{AC21C305-B89B-4AB6-AD82-9E51449B2D66}" name="PRONTA EM:" dataDxfId="53"/>
    <tableColumn id="9" xr3:uid="{CD7CF401-8B11-4531-8058-3958A7FBFA74}" name="OBSERVAÇÃO" dataDxfId="52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3C9AF8B-C56C-481B-A139-F889452E554D}" name="Tabela481314152021" displayName="Tabela481314152021" ref="B6:L17" totalsRowShown="0" headerRowDxfId="51" dataDxfId="50">
  <autoFilter ref="B6:L17" xr:uid="{469231C5-478A-4799-983F-63646054FDB3}"/>
  <tableColumns count="11">
    <tableColumn id="1" xr3:uid="{A632F31F-F52C-49D8-A74C-74E122E6763D}" name="DATA" dataDxfId="49"/>
    <tableColumn id="2" xr3:uid="{C7596387-F0B1-4697-B04F-A25025BD2623}" name="CLIENTE" dataDxfId="48"/>
    <tableColumn id="8" xr3:uid="{7B78CB15-361C-4DE0-AB0C-59165AA41AAE}" name="PEDIDO" dataDxfId="47"/>
    <tableColumn id="3" xr3:uid="{CC59B47B-EB25-4B6B-824D-A1BB74FCD1C6}" name="TIPO" dataDxfId="46"/>
    <tableColumn id="4" xr3:uid="{8FB7E0B0-CF40-4892-99F1-0489E839B76B}" name="SINAL" dataDxfId="45"/>
    <tableColumn id="5" xr3:uid="{074B628E-0853-492D-9B30-15734C9F1331}" name="PAGO EM:" dataDxfId="44"/>
    <tableColumn id="11" xr3:uid="{C70F7D38-928B-4B11-A55E-AC1409AB5BD9}" name="SALDO" dataDxfId="43"/>
    <tableColumn id="10" xr3:uid="{72A1E15F-A5E0-4984-91D5-A3AB2219CD1A}" name="PAGO EM:2" dataDxfId="42"/>
    <tableColumn id="6" xr3:uid="{4FBE557B-3178-4B0B-82A1-BF022C127944}" name="RETIRADO EM " dataDxfId="41"/>
    <tableColumn id="7" xr3:uid="{1E0F3421-BA75-4EDE-A7EB-680C21F28BCB}" name="PRONTA EM:" dataDxfId="40"/>
    <tableColumn id="9" xr3:uid="{1B9F77F1-3140-4C53-86BB-95FAD999E17C}" name="OBSERVAÇÃO" dataDxfId="39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96D458A-6155-4F95-A615-500858438B8D}" name="Tabela48131415202122" displayName="Tabela48131415202122" ref="B6:L17" totalsRowShown="0" headerRowDxfId="38" dataDxfId="37">
  <autoFilter ref="B6:L17" xr:uid="{165EAEC7-30D4-46ED-954B-2EB4CBD3493B}"/>
  <tableColumns count="11">
    <tableColumn id="1" xr3:uid="{A9755FC5-2E54-45B3-8EF9-EB27A9625C4F}" name="DATA" dataDxfId="36"/>
    <tableColumn id="2" xr3:uid="{ED77F76D-A8EF-4C83-AA07-E088E558190D}" name="CLIENTE" dataDxfId="35"/>
    <tableColumn id="8" xr3:uid="{29C8DE04-3FDA-45C6-83BE-090679CBE18A}" name="PEDIDO" dataDxfId="34"/>
    <tableColumn id="3" xr3:uid="{E0F5266D-7114-4725-844B-48491DF5EC56}" name="TIPO" dataDxfId="33"/>
    <tableColumn id="4" xr3:uid="{EF42E24E-AA0C-4C53-BF07-D047C2765124}" name="SINAL" dataDxfId="32"/>
    <tableColumn id="5" xr3:uid="{52A51245-1168-485F-8B98-570821E160DC}" name="PAGO EM:" dataDxfId="31"/>
    <tableColumn id="11" xr3:uid="{EE622065-514E-4706-8A77-2B9C1704990D}" name="SALDO" dataDxfId="30"/>
    <tableColumn id="10" xr3:uid="{1A4DD783-CE64-450D-913D-1472C649872C}" name="PAGO EM:2" dataDxfId="29"/>
    <tableColumn id="6" xr3:uid="{28A4EAB0-75A4-4A2A-8BEB-62FBAC944B9B}" name="RETIRADO EM " dataDxfId="28"/>
    <tableColumn id="7" xr3:uid="{B1E71ACE-81B5-4F9F-AD33-845687C3D02D}" name="PRONTA EM:" dataDxfId="27"/>
    <tableColumn id="9" xr3:uid="{F91551DF-D28C-4591-B564-83079B4A2A27}" name="OBSERVAÇÃO" dataDxfId="26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C19BFDF-A5DA-42B6-AB2D-F3CAC887FDA3}" name="Tabela4813141520212224" displayName="Tabela4813141520212224" ref="B6:L17" totalsRowShown="0" headerRowDxfId="25" dataDxfId="24">
  <autoFilter ref="B6:L17" xr:uid="{4D4B4EC7-B9D1-486A-9498-B5C79B08256E}"/>
  <tableColumns count="11">
    <tableColumn id="1" xr3:uid="{8CD11138-B0EC-4F3B-A0BE-519C0D2B20B1}" name="DATA" dataDxfId="23"/>
    <tableColumn id="2" xr3:uid="{357BC3E4-2679-4B75-B8C2-A9A4E6485EF2}" name="CLIENTE" dataDxfId="22"/>
    <tableColumn id="8" xr3:uid="{534A8DFF-9D9A-41D9-B636-65D4F95CAACC}" name="PEDIDO" dataDxfId="21"/>
    <tableColumn id="3" xr3:uid="{6D504BC4-7FD9-433F-B8A7-0C62B9A735AC}" name="TIPO" dataDxfId="20"/>
    <tableColumn id="4" xr3:uid="{F8F2F9CD-08A4-42BF-AD71-29CA69DD71CD}" name="SINAL" dataDxfId="19"/>
    <tableColumn id="5" xr3:uid="{6DF9ECBF-4F36-4A7C-8231-18A347122C1A}" name="PAGO EM:" dataDxfId="18"/>
    <tableColumn id="11" xr3:uid="{C377BC11-009B-4D9A-A731-BA2748A564D9}" name="SALDO" dataDxfId="17"/>
    <tableColumn id="10" xr3:uid="{07CE8F8D-0361-43D7-A78C-13A146FDD144}" name="PAGO EM:2" dataDxfId="16"/>
    <tableColumn id="6" xr3:uid="{B9ABBBF4-217B-40B9-AFDC-9843FCB2C59D}" name="RETIRADO EM " dataDxfId="15"/>
    <tableColumn id="7" xr3:uid="{44811699-ED0A-47A7-9EED-0914A51035BD}" name="PRONTA EM:" dataDxfId="14"/>
    <tableColumn id="9" xr3:uid="{FC5DE5F4-5A74-418B-8D74-4FE39F3D974D}" name="OBSERVAÇÃO" dataDxfId="13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E5689-AD02-4799-8170-CF2F8726A7E1}" name="Tabela48131415202122242" displayName="Tabela48131415202122242" ref="B6:L17" totalsRowShown="0" headerRowDxfId="12" dataDxfId="11">
  <autoFilter ref="B6:L17" xr:uid="{5BCA06C7-36DF-4E67-8F2A-A3ECF30D4B33}"/>
  <tableColumns count="11">
    <tableColumn id="1" xr3:uid="{B5ED71F4-3C53-43CE-97AE-26DEFE2166F2}" name="DATA" dataDxfId="10"/>
    <tableColumn id="2" xr3:uid="{7861F858-0D8C-4B9A-AB4A-645BD9CC7BE8}" name="CLIENTE" dataDxfId="9"/>
    <tableColumn id="8" xr3:uid="{B096926B-1A70-4E8E-B294-E5C75B029AF6}" name="PEDIDO" dataDxfId="8"/>
    <tableColumn id="3" xr3:uid="{E489BBB1-E4B1-4663-8B23-44DA211E4DFC}" name="TIPO" dataDxfId="7"/>
    <tableColumn id="4" xr3:uid="{274B03C2-DEF9-4244-8A64-E5838F9CD1EE}" name="SINAL" dataDxfId="6"/>
    <tableColumn id="5" xr3:uid="{51CB3732-4C98-4A43-BD69-0DE9577BBF64}" name="PAGO EM:" dataDxfId="5"/>
    <tableColumn id="11" xr3:uid="{35E23C21-06DC-4E6C-9EE8-F85B154ACBD7}" name="SALDO" dataDxfId="4"/>
    <tableColumn id="10" xr3:uid="{A4ADC1AF-15E9-43CE-91CD-211570DFE266}" name="PAGO EM:2" dataDxfId="3"/>
    <tableColumn id="6" xr3:uid="{B3E3F423-D6B8-4E59-AFC5-3A35FB6F4CC1}" name="RETIRADO EM " dataDxfId="2"/>
    <tableColumn id="7" xr3:uid="{F299A0BD-2C07-454D-9121-7DDBE11C6E6E}" name="PRONTA EM:" dataDxfId="1"/>
    <tableColumn id="9" xr3:uid="{52CE4FFD-F57C-477B-8E0E-CB918B0A1553}" name="OBSERVAÇÃO" dataDxfId="0"/>
  </tableColumns>
  <tableStyleInfo name="TableStyleMedium1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Íon - Sala da Diretoria">
  <a:themeElements>
    <a:clrScheme name="Íon - Sala da Diretoria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Íon - Sala da Diretoria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Íon - Sala da Diretoria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39E499-CB33-41E6-85C4-11EF939ED31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AD32"/>
  <sheetViews>
    <sheetView tabSelected="1" showWhiteSpace="0" zoomScale="85" zoomScaleNormal="85" zoomScalePageLayoutView="85" workbookViewId="0">
      <pane xSplit="11" ySplit="8" topLeftCell="L9" activePane="bottomRight" state="frozen"/>
      <selection pane="topRight" activeCell="L1" sqref="L1"/>
      <selection pane="bottomLeft" activeCell="A7" sqref="A7"/>
      <selection pane="bottomRight" activeCell="F44" sqref="F44"/>
    </sheetView>
  </sheetViews>
  <sheetFormatPr defaultRowHeight="16.5" x14ac:dyDescent="0.3"/>
  <cols>
    <col min="1" max="1" width="0.75" customWidth="1"/>
    <col min="2" max="2" width="12.625" style="1" customWidth="1"/>
    <col min="3" max="3" width="14" customWidth="1"/>
    <col min="4" max="4" width="10.375" customWidth="1"/>
    <col min="5" max="5" width="32.125" customWidth="1"/>
    <col min="6" max="6" width="22.125" bestFit="1" customWidth="1"/>
    <col min="7" max="7" width="14.875" customWidth="1"/>
    <col min="8" max="8" width="13.625" customWidth="1"/>
    <col min="9" max="9" width="13.5" customWidth="1"/>
    <col min="10" max="10" width="13.625" style="23" customWidth="1"/>
    <col min="11" max="11" width="11.875" style="23" bestFit="1" customWidth="1"/>
    <col min="12" max="12" width="46.625" customWidth="1"/>
    <col min="13" max="13" width="17.625" customWidth="1"/>
    <col min="14" max="14" width="16.875" customWidth="1"/>
    <col min="15" max="15" width="11.875" customWidth="1"/>
    <col min="16" max="16" width="29.5" customWidth="1"/>
    <col min="17" max="17" width="17.75" customWidth="1"/>
    <col min="18" max="18" width="16.625" customWidth="1"/>
    <col min="19" max="20" width="13.25" customWidth="1"/>
    <col min="21" max="21" width="54.25" customWidth="1"/>
    <col min="22" max="22" width="3.5" customWidth="1"/>
    <col min="23" max="23" width="4.25" customWidth="1"/>
    <col min="24" max="24" width="14" customWidth="1"/>
    <col min="25" max="25" width="15.375" customWidth="1"/>
    <col min="26" max="26" width="27.875" customWidth="1"/>
    <col min="27" max="27" width="19.375" customWidth="1"/>
    <col min="28" max="28" width="21.875" customWidth="1"/>
    <col min="29" max="29" width="18.375" customWidth="1"/>
    <col min="30" max="30" width="27.75" customWidth="1"/>
  </cols>
  <sheetData>
    <row r="1" spans="2:30" ht="5.0999999999999996" customHeight="1" thickBot="1" x14ac:dyDescent="0.35"/>
    <row r="2" spans="2:30" ht="12" customHeight="1" thickBot="1" x14ac:dyDescent="0.35">
      <c r="B2" s="124"/>
      <c r="C2" s="123" t="s">
        <v>137</v>
      </c>
      <c r="D2" s="125"/>
      <c r="E2" s="123" t="s">
        <v>67</v>
      </c>
      <c r="F2" s="126"/>
      <c r="G2" s="202" t="s">
        <v>68</v>
      </c>
      <c r="H2" s="203"/>
      <c r="I2" s="127"/>
      <c r="J2" s="202" t="s">
        <v>86</v>
      </c>
      <c r="K2" s="203"/>
    </row>
    <row r="3" spans="2:30" ht="5.0999999999999996" customHeight="1" thickBot="1" x14ac:dyDescent="0.35"/>
    <row r="4" spans="2:30" ht="16.5" customHeight="1" x14ac:dyDescent="0.3">
      <c r="B4" s="183" t="s">
        <v>40</v>
      </c>
      <c r="C4" s="196">
        <f>SUMIF(H9:H25,"="&amp;"",G9:G25)</f>
        <v>28313.7</v>
      </c>
      <c r="D4" s="183" t="s">
        <v>39</v>
      </c>
      <c r="E4" s="196">
        <f>SUMIF(J9:J25,"="&amp;"",I9:I25)</f>
        <v>2873.85</v>
      </c>
      <c r="F4" s="183" t="s">
        <v>70</v>
      </c>
      <c r="G4" s="193">
        <f>SUM(C4,E4)</f>
        <v>31187.55</v>
      </c>
      <c r="H4" s="208" t="s">
        <v>69</v>
      </c>
      <c r="I4" s="210">
        <f>SUM(G9:G25,I9:I25)</f>
        <v>35673.25</v>
      </c>
      <c r="J4" s="211"/>
      <c r="K4"/>
    </row>
    <row r="5" spans="2:30" ht="25.5" customHeight="1" thickBot="1" x14ac:dyDescent="0.35">
      <c r="B5" s="206"/>
      <c r="C5" s="205"/>
      <c r="D5" s="206"/>
      <c r="E5" s="205"/>
      <c r="F5" s="206"/>
      <c r="G5" s="205"/>
      <c r="H5" s="209"/>
      <c r="I5" s="212"/>
      <c r="J5" s="213"/>
      <c r="K5"/>
    </row>
    <row r="6" spans="2:30" ht="22.5" x14ac:dyDescent="0.3">
      <c r="B6" s="207" t="s">
        <v>0</v>
      </c>
      <c r="C6" s="207"/>
      <c r="D6" s="207"/>
      <c r="E6" s="207"/>
      <c r="F6" s="207"/>
      <c r="G6" s="207"/>
      <c r="H6" s="207"/>
      <c r="I6" s="207"/>
      <c r="J6" s="207"/>
      <c r="K6" s="207"/>
      <c r="L6" s="207"/>
      <c r="N6" s="12"/>
      <c r="O6" s="13"/>
      <c r="P6" s="13"/>
      <c r="Q6" s="13"/>
      <c r="R6" s="13"/>
      <c r="S6" s="13"/>
      <c r="T6" s="13"/>
      <c r="U6" s="13"/>
      <c r="X6" s="204"/>
      <c r="Y6" s="204"/>
      <c r="Z6" s="204"/>
      <c r="AA6" s="204"/>
      <c r="AB6" s="204"/>
      <c r="AC6" s="204"/>
      <c r="AD6" s="204"/>
    </row>
    <row r="7" spans="2:30" x14ac:dyDescent="0.3"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N7" s="14"/>
      <c r="O7" s="15"/>
      <c r="P7" s="15"/>
      <c r="Q7" s="15"/>
      <c r="R7" s="16"/>
      <c r="S7" s="15"/>
      <c r="T7" s="15"/>
      <c r="U7" s="17"/>
      <c r="X7" s="14"/>
      <c r="Y7" s="15"/>
      <c r="Z7" s="15"/>
      <c r="AA7" s="15"/>
      <c r="AB7" s="18"/>
      <c r="AC7" s="15"/>
      <c r="AD7" s="19"/>
    </row>
    <row r="8" spans="2:30" ht="36" customHeight="1" x14ac:dyDescent="0.3">
      <c r="B8" s="57" t="s">
        <v>29</v>
      </c>
      <c r="C8" s="57" t="s">
        <v>28</v>
      </c>
      <c r="D8" s="57" t="s">
        <v>1</v>
      </c>
      <c r="E8" s="57" t="s">
        <v>2</v>
      </c>
      <c r="F8" s="57" t="s">
        <v>3</v>
      </c>
      <c r="G8" s="58" t="s">
        <v>17</v>
      </c>
      <c r="H8" s="57" t="s">
        <v>14</v>
      </c>
      <c r="I8" s="57" t="s">
        <v>16</v>
      </c>
      <c r="J8" s="59" t="s">
        <v>15</v>
      </c>
      <c r="K8" s="57" t="s">
        <v>61</v>
      </c>
      <c r="L8" s="57" t="s">
        <v>23</v>
      </c>
      <c r="O8" s="20"/>
      <c r="P8" s="1"/>
      <c r="Q8" s="1"/>
      <c r="R8" s="1"/>
      <c r="S8" s="21"/>
      <c r="T8" s="20"/>
      <c r="U8" s="20"/>
      <c r="V8" s="22"/>
      <c r="Y8" s="23"/>
    </row>
    <row r="9" spans="2:30" x14ac:dyDescent="0.3">
      <c r="B9" s="133">
        <v>46338</v>
      </c>
      <c r="C9" s="133">
        <v>46338</v>
      </c>
      <c r="D9" s="166">
        <v>341546</v>
      </c>
      <c r="E9" s="135" t="s">
        <v>165</v>
      </c>
      <c r="F9" s="135" t="s">
        <v>10</v>
      </c>
      <c r="G9" s="136">
        <v>19242</v>
      </c>
      <c r="H9" s="133"/>
      <c r="I9" s="131" t="s">
        <v>66</v>
      </c>
      <c r="J9" s="130" t="s">
        <v>66</v>
      </c>
      <c r="K9" s="26"/>
      <c r="L9" s="163"/>
      <c r="O9" s="20"/>
      <c r="P9" s="1"/>
      <c r="Q9" s="1"/>
      <c r="R9" s="1"/>
      <c r="S9" s="21"/>
      <c r="T9" s="1"/>
      <c r="U9" s="1"/>
      <c r="V9" s="1"/>
    </row>
    <row r="10" spans="2:30" x14ac:dyDescent="0.3">
      <c r="B10" s="160">
        <v>46017</v>
      </c>
      <c r="C10" s="133">
        <v>46027</v>
      </c>
      <c r="D10" s="166">
        <v>355834</v>
      </c>
      <c r="E10" s="135" t="s">
        <v>169</v>
      </c>
      <c r="F10" s="135" t="s">
        <v>153</v>
      </c>
      <c r="G10" s="136">
        <v>2873.85</v>
      </c>
      <c r="H10" s="133">
        <v>46029</v>
      </c>
      <c r="I10" s="131">
        <v>2873.85</v>
      </c>
      <c r="J10" s="130"/>
      <c r="K10" s="26"/>
      <c r="L10" s="161"/>
    </row>
    <row r="11" spans="2:30" x14ac:dyDescent="0.3">
      <c r="B11" s="160">
        <v>46017</v>
      </c>
      <c r="C11" s="133">
        <v>46027</v>
      </c>
      <c r="D11" s="166">
        <v>355838</v>
      </c>
      <c r="E11" s="135" t="s">
        <v>169</v>
      </c>
      <c r="F11" s="135" t="s">
        <v>10</v>
      </c>
      <c r="G11" s="136">
        <v>2054.33</v>
      </c>
      <c r="H11" s="133"/>
      <c r="I11" s="131" t="s">
        <v>66</v>
      </c>
      <c r="J11" s="130" t="s">
        <v>66</v>
      </c>
      <c r="K11" s="26"/>
      <c r="L11" s="161"/>
    </row>
    <row r="12" spans="2:30" x14ac:dyDescent="0.3">
      <c r="B12" s="160">
        <v>46044</v>
      </c>
      <c r="C12" s="133">
        <v>46049</v>
      </c>
      <c r="D12" s="134">
        <v>361676</v>
      </c>
      <c r="E12" s="135" t="s">
        <v>180</v>
      </c>
      <c r="F12" s="135" t="s">
        <v>10</v>
      </c>
      <c r="G12" s="136">
        <v>1121</v>
      </c>
      <c r="H12" s="133"/>
      <c r="I12" s="131" t="s">
        <v>66</v>
      </c>
      <c r="J12" s="130" t="s">
        <v>66</v>
      </c>
      <c r="K12" s="26"/>
      <c r="L12" s="167"/>
    </row>
    <row r="13" spans="2:30" x14ac:dyDescent="0.3">
      <c r="B13" s="160">
        <v>46056</v>
      </c>
      <c r="C13" s="133">
        <v>46057</v>
      </c>
      <c r="D13" s="134">
        <v>364139</v>
      </c>
      <c r="E13" s="135" t="s">
        <v>185</v>
      </c>
      <c r="F13" s="135" t="s">
        <v>168</v>
      </c>
      <c r="G13" s="136">
        <v>643.5</v>
      </c>
      <c r="H13" s="133"/>
      <c r="I13" s="131" t="s">
        <v>66</v>
      </c>
      <c r="J13" s="130" t="s">
        <v>66</v>
      </c>
      <c r="K13" s="26"/>
      <c r="L13" s="137"/>
    </row>
    <row r="14" spans="2:30" x14ac:dyDescent="0.3">
      <c r="B14" s="160" t="s">
        <v>66</v>
      </c>
      <c r="C14" s="133">
        <v>46059</v>
      </c>
      <c r="D14" s="134">
        <v>369629</v>
      </c>
      <c r="E14" s="135" t="s">
        <v>166</v>
      </c>
      <c r="F14" s="135" t="s">
        <v>188</v>
      </c>
      <c r="G14" s="136">
        <v>220</v>
      </c>
      <c r="H14" s="172" t="s">
        <v>232</v>
      </c>
      <c r="I14" s="131" t="s">
        <v>66</v>
      </c>
      <c r="J14" s="130" t="s">
        <v>66</v>
      </c>
      <c r="K14" s="26">
        <v>46085</v>
      </c>
      <c r="L14" s="137" t="s">
        <v>230</v>
      </c>
    </row>
    <row r="15" spans="2:30" x14ac:dyDescent="0.3">
      <c r="B15" s="160">
        <v>46062</v>
      </c>
      <c r="C15" s="133">
        <v>46078</v>
      </c>
      <c r="D15" s="134">
        <v>368490</v>
      </c>
      <c r="E15" s="135" t="s">
        <v>189</v>
      </c>
      <c r="F15" s="135" t="s">
        <v>10</v>
      </c>
      <c r="G15" s="136">
        <v>3024.8</v>
      </c>
      <c r="H15" s="133"/>
      <c r="I15" s="131"/>
      <c r="J15" s="130"/>
      <c r="K15" s="26"/>
      <c r="L15" s="168"/>
    </row>
    <row r="16" spans="2:30" x14ac:dyDescent="0.3">
      <c r="B16" s="160">
        <v>46062</v>
      </c>
      <c r="C16" s="133">
        <v>46065</v>
      </c>
      <c r="D16" s="134"/>
      <c r="E16" s="135" t="s">
        <v>190</v>
      </c>
      <c r="F16" s="135" t="s">
        <v>191</v>
      </c>
      <c r="G16" s="136"/>
      <c r="H16" s="133"/>
      <c r="I16" s="131"/>
      <c r="J16" s="130"/>
      <c r="K16" s="26"/>
      <c r="L16" s="137"/>
    </row>
    <row r="17" spans="2:12" x14ac:dyDescent="0.3">
      <c r="B17" s="160">
        <v>46064</v>
      </c>
      <c r="C17" s="133"/>
      <c r="D17" s="134"/>
      <c r="E17" s="135" t="s">
        <v>180</v>
      </c>
      <c r="F17" s="135" t="s">
        <v>10</v>
      </c>
      <c r="G17" s="136"/>
      <c r="H17" s="133"/>
      <c r="I17" s="131"/>
      <c r="J17" s="130"/>
      <c r="K17" s="26"/>
      <c r="L17" s="169"/>
    </row>
    <row r="18" spans="2:12" x14ac:dyDescent="0.3">
      <c r="B18" s="160">
        <v>46077</v>
      </c>
      <c r="C18" s="133">
        <v>46078</v>
      </c>
      <c r="D18" s="134">
        <v>368484</v>
      </c>
      <c r="E18" s="135" t="s">
        <v>207</v>
      </c>
      <c r="F18" s="135" t="s">
        <v>208</v>
      </c>
      <c r="G18" s="136">
        <v>806.05</v>
      </c>
      <c r="H18" s="133">
        <v>46083</v>
      </c>
      <c r="I18" s="131" t="s">
        <v>66</v>
      </c>
      <c r="J18" s="130" t="s">
        <v>66</v>
      </c>
      <c r="K18" s="26">
        <v>46080</v>
      </c>
      <c r="L18" s="137" t="s">
        <v>213</v>
      </c>
    </row>
    <row r="19" spans="2:12" x14ac:dyDescent="0.3">
      <c r="B19" s="160" t="s">
        <v>66</v>
      </c>
      <c r="C19" s="133">
        <v>46078</v>
      </c>
      <c r="D19" s="134">
        <v>368109</v>
      </c>
      <c r="E19" s="135" t="s">
        <v>176</v>
      </c>
      <c r="F19" s="135" t="s">
        <v>35</v>
      </c>
      <c r="G19" s="136">
        <v>125.44</v>
      </c>
      <c r="H19" s="172" t="s">
        <v>233</v>
      </c>
      <c r="I19" s="131" t="s">
        <v>66</v>
      </c>
      <c r="J19" s="130" t="s">
        <v>66</v>
      </c>
      <c r="K19" s="26">
        <v>46078</v>
      </c>
      <c r="L19" s="137" t="s">
        <v>214</v>
      </c>
    </row>
    <row r="20" spans="2:12" x14ac:dyDescent="0.3">
      <c r="B20" s="160">
        <v>46080</v>
      </c>
      <c r="C20" s="133"/>
      <c r="D20" s="134"/>
      <c r="E20" s="135" t="s">
        <v>221</v>
      </c>
      <c r="F20" s="135" t="s">
        <v>10</v>
      </c>
      <c r="G20" s="136"/>
      <c r="H20" s="133"/>
      <c r="I20" s="131"/>
      <c r="J20" s="130"/>
      <c r="K20" s="26"/>
      <c r="L20" s="170"/>
    </row>
    <row r="21" spans="2:12" x14ac:dyDescent="0.3">
      <c r="B21" s="160">
        <v>46080</v>
      </c>
      <c r="C21" s="133"/>
      <c r="D21" s="134"/>
      <c r="E21" s="135" t="s">
        <v>222</v>
      </c>
      <c r="F21" s="135" t="s">
        <v>153</v>
      </c>
      <c r="G21" s="136"/>
      <c r="H21" s="133"/>
      <c r="I21" s="131"/>
      <c r="J21" s="130"/>
      <c r="K21" s="26"/>
      <c r="L21" s="137" t="s">
        <v>223</v>
      </c>
    </row>
    <row r="22" spans="2:12" x14ac:dyDescent="0.3">
      <c r="B22" s="160">
        <v>46077</v>
      </c>
      <c r="C22" s="133">
        <v>46080</v>
      </c>
      <c r="D22" s="134">
        <v>369127</v>
      </c>
      <c r="E22" s="135" t="s">
        <v>207</v>
      </c>
      <c r="F22" s="135" t="s">
        <v>47</v>
      </c>
      <c r="G22" s="136">
        <v>54.88</v>
      </c>
      <c r="H22" s="172" t="s">
        <v>233</v>
      </c>
      <c r="I22" s="131" t="s">
        <v>66</v>
      </c>
      <c r="J22" s="130" t="s">
        <v>66</v>
      </c>
      <c r="K22" s="26">
        <v>46083</v>
      </c>
      <c r="L22" s="137" t="s">
        <v>229</v>
      </c>
    </row>
    <row r="23" spans="2:12" x14ac:dyDescent="0.3">
      <c r="B23" s="160">
        <v>46080</v>
      </c>
      <c r="C23" s="133"/>
      <c r="D23" s="134"/>
      <c r="E23" s="135" t="s">
        <v>224</v>
      </c>
      <c r="F23" s="135" t="s">
        <v>10</v>
      </c>
      <c r="G23" s="136"/>
      <c r="H23" s="133"/>
      <c r="I23" s="131"/>
      <c r="J23" s="130"/>
      <c r="K23" s="26"/>
      <c r="L23" s="170"/>
    </row>
    <row r="24" spans="2:12" x14ac:dyDescent="0.3">
      <c r="B24" s="160">
        <v>46080</v>
      </c>
      <c r="C24" s="133">
        <v>46083</v>
      </c>
      <c r="D24" s="134">
        <v>369630</v>
      </c>
      <c r="E24" s="135" t="s">
        <v>225</v>
      </c>
      <c r="F24" s="135" t="s">
        <v>178</v>
      </c>
      <c r="G24" s="136">
        <v>405.48</v>
      </c>
      <c r="H24" s="172" t="s">
        <v>231</v>
      </c>
      <c r="I24" s="131" t="s">
        <v>66</v>
      </c>
      <c r="J24" s="130" t="s">
        <v>66</v>
      </c>
      <c r="K24" s="26">
        <v>46085</v>
      </c>
      <c r="L24" s="170"/>
    </row>
    <row r="25" spans="2:12" x14ac:dyDescent="0.3">
      <c r="B25" s="160">
        <v>46080</v>
      </c>
      <c r="C25" s="133">
        <v>46083</v>
      </c>
      <c r="D25" s="134">
        <v>369709</v>
      </c>
      <c r="E25" s="135" t="s">
        <v>226</v>
      </c>
      <c r="F25" s="135" t="s">
        <v>10</v>
      </c>
      <c r="G25" s="136">
        <v>2228.0700000000002</v>
      </c>
      <c r="H25" s="133"/>
      <c r="I25" s="131" t="s">
        <v>66</v>
      </c>
      <c r="J25" s="130" t="s">
        <v>66</v>
      </c>
      <c r="K25" s="173" t="s">
        <v>239</v>
      </c>
      <c r="L25" s="170"/>
    </row>
    <row r="26" spans="2:12" x14ac:dyDescent="0.3">
      <c r="C26" t="s">
        <v>47</v>
      </c>
      <c r="D26" s="138">
        <v>34.1</v>
      </c>
      <c r="E26" s="111">
        <v>31</v>
      </c>
    </row>
    <row r="27" spans="2:12" x14ac:dyDescent="0.3">
      <c r="C27" t="s">
        <v>44</v>
      </c>
      <c r="D27" s="138">
        <v>35.200000000000003</v>
      </c>
      <c r="E27" s="111">
        <v>32.5</v>
      </c>
      <c r="H27" s="132"/>
      <c r="I27" s="3"/>
    </row>
    <row r="28" spans="2:12" x14ac:dyDescent="0.3">
      <c r="C28" t="s">
        <v>10</v>
      </c>
      <c r="D28" s="138">
        <v>37.700000000000003</v>
      </c>
      <c r="E28" s="111">
        <v>34.200000000000003</v>
      </c>
      <c r="H28" s="111"/>
      <c r="I28" s="3"/>
    </row>
    <row r="29" spans="2:12" x14ac:dyDescent="0.3">
      <c r="C29" t="s">
        <v>35</v>
      </c>
      <c r="D29" s="138">
        <v>38.9</v>
      </c>
      <c r="E29" s="111">
        <v>35.200000000000003</v>
      </c>
      <c r="H29" s="111"/>
      <c r="I29" s="3"/>
    </row>
    <row r="30" spans="2:12" x14ac:dyDescent="0.3">
      <c r="C30" t="s">
        <v>87</v>
      </c>
      <c r="D30" s="138">
        <v>42.9</v>
      </c>
      <c r="E30" s="111">
        <v>39</v>
      </c>
      <c r="H30" s="111"/>
      <c r="I30" s="3"/>
    </row>
    <row r="31" spans="2:12" x14ac:dyDescent="0.3">
      <c r="C31" t="s">
        <v>88</v>
      </c>
      <c r="D31" s="138">
        <v>68</v>
      </c>
      <c r="E31" s="111">
        <v>65.8</v>
      </c>
      <c r="H31" s="111"/>
    </row>
    <row r="32" spans="2:12" x14ac:dyDescent="0.3">
      <c r="C32" s="139" t="s">
        <v>144</v>
      </c>
      <c r="H32" s="111"/>
    </row>
  </sheetData>
  <mergeCells count="12">
    <mergeCell ref="G2:H2"/>
    <mergeCell ref="J2:K2"/>
    <mergeCell ref="X6:AD6"/>
    <mergeCell ref="C4:C5"/>
    <mergeCell ref="E4:E5"/>
    <mergeCell ref="D4:D5"/>
    <mergeCell ref="B6:L7"/>
    <mergeCell ref="B4:B5"/>
    <mergeCell ref="F4:F5"/>
    <mergeCell ref="G4:G5"/>
    <mergeCell ref="H4:H5"/>
    <mergeCell ref="I4:J5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M39"/>
  <sheetViews>
    <sheetView zoomScale="90" zoomScaleNormal="90" workbookViewId="0">
      <pane xSplit="11" ySplit="6" topLeftCell="L7" activePane="bottomRight" state="frozen"/>
      <selection activeCell="B1" sqref="B1"/>
      <selection pane="topRight" activeCell="L1" sqref="L1"/>
      <selection pane="bottomLeft" activeCell="B6" sqref="B6"/>
      <selection pane="bottomRight" activeCell="K21" sqref="K21"/>
    </sheetView>
  </sheetViews>
  <sheetFormatPr defaultRowHeight="16.5" x14ac:dyDescent="0.3"/>
  <cols>
    <col min="1" max="1" width="1.375" customWidth="1"/>
    <col min="2" max="2" width="10.75" bestFit="1" customWidth="1"/>
    <col min="3" max="3" width="7.625" customWidth="1"/>
    <col min="4" max="4" width="28.625" style="24" customWidth="1"/>
    <col min="5" max="5" width="33.125" customWidth="1"/>
    <col min="6" max="6" width="15.25" customWidth="1"/>
    <col min="7" max="7" width="13" style="3" customWidth="1"/>
    <col min="8" max="8" width="13.625" hidden="1" customWidth="1"/>
    <col min="9" max="9" width="14.125" style="3" hidden="1" customWidth="1"/>
    <col min="10" max="10" width="12.75" customWidth="1"/>
    <col min="11" max="11" width="15.375" style="3" customWidth="1"/>
    <col min="12" max="12" width="44.75" customWidth="1"/>
    <col min="13" max="13" width="7.375" customWidth="1"/>
  </cols>
  <sheetData>
    <row r="1" spans="2:13" ht="8.25" customHeight="1" thickBot="1" x14ac:dyDescent="0.35"/>
    <row r="2" spans="2:13" ht="16.5" customHeight="1" x14ac:dyDescent="0.3">
      <c r="B2" s="183" t="s">
        <v>40</v>
      </c>
      <c r="C2" s="185"/>
      <c r="D2" s="196">
        <f>SUMIF(G7:G7,"="&amp;"",F7:F7)</f>
        <v>0</v>
      </c>
      <c r="E2" s="198" t="s">
        <v>39</v>
      </c>
      <c r="F2" s="200">
        <f>SUMIF(I7:I7,"="&amp;"",H7:H7)</f>
        <v>0</v>
      </c>
      <c r="G2" s="193"/>
      <c r="H2" s="183" t="s">
        <v>38</v>
      </c>
      <c r="I2" s="192">
        <f>SUM(D2,F2)</f>
        <v>0</v>
      </c>
      <c r="J2" s="193"/>
      <c r="K2" s="188" t="s">
        <v>71</v>
      </c>
      <c r="L2" s="190">
        <f>SUM(F7:F7,H7:H7)</f>
        <v>244.17</v>
      </c>
    </row>
    <row r="3" spans="2:13" ht="16.5" customHeight="1" x14ac:dyDescent="0.3">
      <c r="B3" s="184"/>
      <c r="C3" s="186"/>
      <c r="D3" s="197"/>
      <c r="E3" s="199"/>
      <c r="F3" s="201"/>
      <c r="G3" s="195"/>
      <c r="H3" s="184"/>
      <c r="I3" s="194"/>
      <c r="J3" s="195"/>
      <c r="K3" s="189"/>
      <c r="L3" s="191"/>
    </row>
    <row r="4" spans="2:13" ht="18" customHeight="1" x14ac:dyDescent="0.3">
      <c r="B4" s="187" t="s">
        <v>7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2:13" ht="18" customHeight="1" x14ac:dyDescent="0.3"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</row>
    <row r="6" spans="2:13" x14ac:dyDescent="0.3">
      <c r="B6" s="32" t="s">
        <v>12</v>
      </c>
      <c r="C6" s="32" t="s">
        <v>45</v>
      </c>
      <c r="D6" s="33" t="s">
        <v>2</v>
      </c>
      <c r="E6" s="32" t="s">
        <v>5</v>
      </c>
      <c r="F6" s="32" t="s">
        <v>17</v>
      </c>
      <c r="G6" s="36" t="s">
        <v>18</v>
      </c>
      <c r="H6" s="34" t="s">
        <v>16</v>
      </c>
      <c r="I6" s="36" t="s">
        <v>19</v>
      </c>
      <c r="J6" s="35" t="s">
        <v>6</v>
      </c>
      <c r="K6" s="35" t="s">
        <v>20</v>
      </c>
      <c r="L6" s="32" t="s">
        <v>33</v>
      </c>
    </row>
    <row r="7" spans="2:13" x14ac:dyDescent="0.3">
      <c r="B7" s="2">
        <v>45931</v>
      </c>
      <c r="C7" s="1">
        <v>25638</v>
      </c>
      <c r="D7" s="71" t="s">
        <v>145</v>
      </c>
      <c r="E7" s="29" t="s">
        <v>136</v>
      </c>
      <c r="F7" s="72">
        <v>244.17</v>
      </c>
      <c r="G7" s="26">
        <v>45943</v>
      </c>
      <c r="H7" s="140" t="s">
        <v>66</v>
      </c>
      <c r="I7" s="141" t="s">
        <v>66</v>
      </c>
      <c r="J7" s="113"/>
      <c r="K7" s="26"/>
      <c r="L7" s="29" t="s">
        <v>148</v>
      </c>
      <c r="M7" s="27"/>
    </row>
    <row r="8" spans="2:13" x14ac:dyDescent="0.3">
      <c r="B8" s="2">
        <v>46052</v>
      </c>
      <c r="C8" s="1">
        <v>30626</v>
      </c>
      <c r="D8" s="71" t="s">
        <v>187</v>
      </c>
      <c r="E8" s="29" t="s">
        <v>196</v>
      </c>
      <c r="F8" s="165">
        <v>292.5</v>
      </c>
      <c r="G8" s="26">
        <v>46083</v>
      </c>
      <c r="H8" s="140" t="s">
        <v>66</v>
      </c>
      <c r="I8" s="141" t="s">
        <v>66</v>
      </c>
      <c r="J8" s="113">
        <v>46077</v>
      </c>
      <c r="K8" s="26"/>
      <c r="L8" s="29"/>
    </row>
    <row r="9" spans="2:13" x14ac:dyDescent="0.3">
      <c r="B9" s="2">
        <v>46052</v>
      </c>
      <c r="C9" s="1">
        <v>30272</v>
      </c>
      <c r="D9" s="71" t="s">
        <v>182</v>
      </c>
      <c r="E9" s="29" t="s">
        <v>172</v>
      </c>
      <c r="F9" s="165">
        <v>4075.33</v>
      </c>
      <c r="G9" s="26">
        <v>46085</v>
      </c>
      <c r="H9" s="140" t="s">
        <v>66</v>
      </c>
      <c r="I9" s="141" t="s">
        <v>66</v>
      </c>
      <c r="J9" s="113">
        <v>46062</v>
      </c>
      <c r="K9" s="26"/>
      <c r="L9" s="29" t="s">
        <v>192</v>
      </c>
    </row>
    <row r="10" spans="2:13" ht="16.5" customHeight="1" x14ac:dyDescent="0.3">
      <c r="B10" s="2">
        <v>46055</v>
      </c>
      <c r="C10" s="1">
        <v>30584</v>
      </c>
      <c r="D10" s="71" t="s">
        <v>187</v>
      </c>
      <c r="E10" s="29" t="s">
        <v>155</v>
      </c>
      <c r="F10" s="165">
        <v>148.22999999999999</v>
      </c>
      <c r="G10" s="26">
        <v>46083</v>
      </c>
      <c r="H10" s="140" t="s">
        <v>66</v>
      </c>
      <c r="I10" s="141" t="s">
        <v>66</v>
      </c>
      <c r="J10" s="113">
        <v>46078</v>
      </c>
      <c r="K10" s="26"/>
      <c r="L10" s="29" t="s">
        <v>183</v>
      </c>
      <c r="M10" s="27"/>
    </row>
    <row r="11" spans="2:13" x14ac:dyDescent="0.3">
      <c r="B11" s="2">
        <v>46064</v>
      </c>
      <c r="C11" s="1">
        <v>30625</v>
      </c>
      <c r="D11" s="71" t="s">
        <v>195</v>
      </c>
      <c r="E11" s="29" t="s">
        <v>170</v>
      </c>
      <c r="F11" s="165">
        <v>356.35</v>
      </c>
      <c r="G11" s="26">
        <v>46083</v>
      </c>
      <c r="H11" s="140" t="s">
        <v>66</v>
      </c>
      <c r="I11" s="141" t="s">
        <v>66</v>
      </c>
      <c r="J11" s="113">
        <v>46077</v>
      </c>
      <c r="K11" s="26"/>
      <c r="L11" s="29" t="s">
        <v>204</v>
      </c>
    </row>
    <row r="12" spans="2:13" x14ac:dyDescent="0.3">
      <c r="B12" s="2">
        <v>46065</v>
      </c>
      <c r="C12" s="1">
        <v>30714</v>
      </c>
      <c r="D12" s="71" t="s">
        <v>193</v>
      </c>
      <c r="E12" s="29" t="s">
        <v>200</v>
      </c>
      <c r="F12" s="165">
        <v>296.45999999999998</v>
      </c>
      <c r="G12" s="26">
        <v>46085</v>
      </c>
      <c r="H12" s="140" t="s">
        <v>66</v>
      </c>
      <c r="I12" s="141" t="s">
        <v>66</v>
      </c>
      <c r="J12" s="113">
        <v>46083</v>
      </c>
      <c r="K12" s="26"/>
      <c r="L12" s="29"/>
    </row>
    <row r="13" spans="2:13" x14ac:dyDescent="0.3">
      <c r="B13" s="2">
        <v>46065</v>
      </c>
      <c r="C13" s="1">
        <v>30745</v>
      </c>
      <c r="D13" s="71" t="s">
        <v>193</v>
      </c>
      <c r="E13" s="29" t="s">
        <v>177</v>
      </c>
      <c r="F13" s="165">
        <v>184.62</v>
      </c>
      <c r="G13" s="26">
        <v>46085</v>
      </c>
      <c r="H13" s="140" t="s">
        <v>66</v>
      </c>
      <c r="I13" s="141" t="s">
        <v>66</v>
      </c>
      <c r="J13" s="113">
        <v>46083</v>
      </c>
      <c r="K13" s="26"/>
      <c r="L13" s="29"/>
    </row>
    <row r="14" spans="2:13" x14ac:dyDescent="0.3">
      <c r="B14" s="2">
        <v>46076</v>
      </c>
      <c r="C14" s="1">
        <v>30878</v>
      </c>
      <c r="D14" s="71" t="s">
        <v>201</v>
      </c>
      <c r="E14" s="29" t="s">
        <v>203</v>
      </c>
      <c r="F14" s="165">
        <v>2107.52</v>
      </c>
      <c r="G14" s="26"/>
      <c r="H14" s="140" t="s">
        <v>66</v>
      </c>
      <c r="I14" s="141" t="s">
        <v>66</v>
      </c>
      <c r="J14" s="113"/>
      <c r="K14" s="26"/>
      <c r="L14" s="29" t="s">
        <v>202</v>
      </c>
    </row>
    <row r="15" spans="2:13" ht="16.5" customHeight="1" x14ac:dyDescent="0.3">
      <c r="B15" s="2">
        <v>46076</v>
      </c>
      <c r="C15" s="1">
        <v>30883</v>
      </c>
      <c r="D15" s="71" t="s">
        <v>166</v>
      </c>
      <c r="E15" s="29" t="s">
        <v>196</v>
      </c>
      <c r="F15" s="165">
        <v>438.1</v>
      </c>
      <c r="G15" s="26"/>
      <c r="H15" s="140" t="s">
        <v>66</v>
      </c>
      <c r="I15" s="141" t="s">
        <v>66</v>
      </c>
      <c r="J15" s="113"/>
      <c r="K15" s="26">
        <v>46080</v>
      </c>
      <c r="L15" s="29" t="s">
        <v>205</v>
      </c>
      <c r="M15" s="23"/>
    </row>
    <row r="16" spans="2:13" x14ac:dyDescent="0.3">
      <c r="B16" s="2">
        <v>46077</v>
      </c>
      <c r="C16" s="1">
        <v>30885</v>
      </c>
      <c r="D16" s="71" t="s">
        <v>209</v>
      </c>
      <c r="E16" s="29" t="s">
        <v>170</v>
      </c>
      <c r="F16" s="165">
        <v>1055.24</v>
      </c>
      <c r="G16" s="26">
        <v>46085</v>
      </c>
      <c r="H16" s="140" t="s">
        <v>66</v>
      </c>
      <c r="I16" s="141" t="s">
        <v>66</v>
      </c>
      <c r="J16" s="113">
        <v>46080</v>
      </c>
      <c r="K16" s="26"/>
      <c r="L16" s="29" t="s">
        <v>210</v>
      </c>
    </row>
    <row r="17" spans="2:13" s="40" customFormat="1" x14ac:dyDescent="0.3">
      <c r="B17" s="2">
        <v>46078</v>
      </c>
      <c r="C17" s="1"/>
      <c r="D17" s="71" t="s">
        <v>187</v>
      </c>
      <c r="E17" s="29" t="s">
        <v>197</v>
      </c>
      <c r="F17" s="165"/>
      <c r="G17" s="26"/>
      <c r="H17" s="140"/>
      <c r="I17" s="141"/>
      <c r="J17" s="113"/>
      <c r="K17" s="26"/>
      <c r="L17" s="29" t="s">
        <v>212</v>
      </c>
    </row>
    <row r="18" spans="2:13" x14ac:dyDescent="0.3">
      <c r="B18" s="2">
        <v>46079</v>
      </c>
      <c r="C18" s="1"/>
      <c r="D18" s="71" t="s">
        <v>215</v>
      </c>
      <c r="E18" s="29" t="s">
        <v>216</v>
      </c>
      <c r="F18" s="165"/>
      <c r="G18" s="26"/>
      <c r="H18" s="140"/>
      <c r="I18" s="141"/>
      <c r="J18" s="113"/>
      <c r="K18" s="26"/>
      <c r="L18" s="29" t="s">
        <v>217</v>
      </c>
    </row>
    <row r="19" spans="2:13" x14ac:dyDescent="0.3">
      <c r="B19" s="2">
        <v>46079</v>
      </c>
      <c r="C19" s="1"/>
      <c r="D19" s="71" t="s">
        <v>187</v>
      </c>
      <c r="E19" s="29" t="s">
        <v>155</v>
      </c>
      <c r="F19" s="165"/>
      <c r="G19" s="26"/>
      <c r="H19" s="140"/>
      <c r="I19" s="141"/>
      <c r="J19" s="113"/>
      <c r="K19" s="26"/>
      <c r="L19" s="29" t="s">
        <v>218</v>
      </c>
    </row>
    <row r="20" spans="2:13" x14ac:dyDescent="0.3">
      <c r="B20" s="2">
        <v>46080</v>
      </c>
      <c r="C20" s="1">
        <v>31126</v>
      </c>
      <c r="D20" s="71" t="s">
        <v>176</v>
      </c>
      <c r="E20" s="29" t="s">
        <v>155</v>
      </c>
      <c r="F20" s="165">
        <v>430.28</v>
      </c>
      <c r="G20" s="26"/>
      <c r="H20" s="140"/>
      <c r="I20" s="141"/>
      <c r="J20" s="113"/>
      <c r="K20" s="26">
        <v>46086</v>
      </c>
      <c r="L20" s="29" t="s">
        <v>234</v>
      </c>
    </row>
    <row r="21" spans="2:13" ht="17.25" customHeight="1" x14ac:dyDescent="0.3">
      <c r="B21" s="2">
        <v>46083</v>
      </c>
      <c r="C21" s="1"/>
      <c r="D21" s="71" t="s">
        <v>227</v>
      </c>
      <c r="E21" s="29" t="s">
        <v>155</v>
      </c>
      <c r="F21" s="165"/>
      <c r="G21" s="26"/>
      <c r="H21" s="140"/>
      <c r="I21" s="141"/>
      <c r="J21" s="113"/>
      <c r="K21" s="26"/>
      <c r="L21" s="29" t="s">
        <v>228</v>
      </c>
    </row>
    <row r="22" spans="2:13" ht="17.25" customHeight="1" x14ac:dyDescent="0.3">
      <c r="B22" s="2">
        <v>46085</v>
      </c>
      <c r="C22" s="1">
        <v>31217</v>
      </c>
      <c r="D22" s="71" t="s">
        <v>176</v>
      </c>
      <c r="E22" s="29" t="s">
        <v>235</v>
      </c>
      <c r="F22" s="165">
        <v>253.64</v>
      </c>
      <c r="G22" s="26"/>
      <c r="H22" s="140"/>
      <c r="I22" s="141"/>
      <c r="J22" s="113"/>
      <c r="K22" s="26"/>
      <c r="L22" s="29" t="s">
        <v>236</v>
      </c>
    </row>
    <row r="23" spans="2:13" ht="17.25" customHeight="1" thickBot="1" x14ac:dyDescent="0.35">
      <c r="B23" s="2">
        <v>46085</v>
      </c>
      <c r="C23" s="1">
        <v>31214</v>
      </c>
      <c r="D23" s="71" t="s">
        <v>237</v>
      </c>
      <c r="E23" s="29" t="s">
        <v>170</v>
      </c>
      <c r="F23" s="165">
        <v>662</v>
      </c>
      <c r="G23" s="26"/>
      <c r="H23" s="140"/>
      <c r="I23" s="141"/>
      <c r="J23" s="113"/>
      <c r="K23" s="26"/>
      <c r="L23" s="29" t="s">
        <v>238</v>
      </c>
    </row>
    <row r="24" spans="2:13" ht="17.25" customHeight="1" x14ac:dyDescent="0.3">
      <c r="D24" s="181" t="s">
        <v>41</v>
      </c>
      <c r="G24" s="164"/>
      <c r="H24" t="s">
        <v>26</v>
      </c>
      <c r="M24" t="s">
        <v>26</v>
      </c>
    </row>
    <row r="25" spans="2:13" ht="16.5" customHeight="1" thickBot="1" x14ac:dyDescent="0.35">
      <c r="D25" s="182"/>
    </row>
    <row r="26" spans="2:13" ht="16.5" customHeight="1" x14ac:dyDescent="0.3">
      <c r="D26" s="178" t="s">
        <v>110</v>
      </c>
      <c r="E26" s="179"/>
      <c r="G26" s="86" t="s">
        <v>95</v>
      </c>
      <c r="H26" s="94"/>
      <c r="I26" s="95"/>
      <c r="J26" s="96"/>
    </row>
    <row r="27" spans="2:13" ht="16.5" customHeight="1" x14ac:dyDescent="0.3">
      <c r="C27" s="180" t="s">
        <v>109</v>
      </c>
      <c r="D27" s="176" t="s">
        <v>98</v>
      </c>
      <c r="E27" s="177"/>
      <c r="G27" s="87" t="s">
        <v>96</v>
      </c>
      <c r="H27" s="97"/>
      <c r="I27" s="98"/>
      <c r="J27" s="99"/>
      <c r="K27" s="90"/>
    </row>
    <row r="28" spans="2:13" ht="16.5" customHeight="1" x14ac:dyDescent="0.3">
      <c r="C28" s="180"/>
      <c r="D28" s="176" t="s">
        <v>97</v>
      </c>
      <c r="E28" s="177"/>
      <c r="G28" s="87" t="s">
        <v>93</v>
      </c>
      <c r="H28" s="88"/>
      <c r="I28" s="88"/>
      <c r="J28" s="89"/>
      <c r="K28" s="90"/>
    </row>
    <row r="29" spans="2:13" ht="17.25" customHeight="1" x14ac:dyDescent="0.3">
      <c r="C29" s="180"/>
      <c r="D29" s="176" t="s">
        <v>55</v>
      </c>
      <c r="E29" s="177"/>
      <c r="F29" s="31"/>
      <c r="G29" s="87" t="s">
        <v>92</v>
      </c>
      <c r="H29" s="88"/>
      <c r="I29" s="88"/>
      <c r="J29" s="89"/>
      <c r="K29" s="90"/>
    </row>
    <row r="30" spans="2:13" ht="18" x14ac:dyDescent="0.3">
      <c r="C30" s="180"/>
      <c r="D30" s="176" t="s">
        <v>111</v>
      </c>
      <c r="E30" s="177"/>
      <c r="F30" s="31"/>
      <c r="G30" s="87" t="s">
        <v>90</v>
      </c>
      <c r="H30" s="88"/>
      <c r="I30" s="88"/>
      <c r="J30" s="89"/>
      <c r="K30" s="90"/>
    </row>
    <row r="31" spans="2:13" s="39" customFormat="1" ht="16.7" customHeight="1" x14ac:dyDescent="0.3">
      <c r="B31"/>
      <c r="C31" s="180"/>
      <c r="D31" s="176" t="s">
        <v>42</v>
      </c>
      <c r="E31" s="177"/>
      <c r="F31"/>
      <c r="G31" s="87" t="s">
        <v>91</v>
      </c>
      <c r="H31" s="88"/>
      <c r="I31" s="88"/>
      <c r="J31" s="89"/>
      <c r="K31" s="90"/>
      <c r="L31"/>
    </row>
    <row r="32" spans="2:13" ht="16.5" customHeight="1" x14ac:dyDescent="0.3">
      <c r="C32" s="180"/>
      <c r="D32" s="176" t="s">
        <v>43</v>
      </c>
      <c r="E32" s="177"/>
      <c r="G32" s="87" t="s">
        <v>135</v>
      </c>
      <c r="H32" s="88"/>
      <c r="I32" s="88"/>
      <c r="J32" s="89"/>
      <c r="K32" s="90"/>
    </row>
    <row r="33" spans="4:10" ht="17.25" customHeight="1" thickBot="1" x14ac:dyDescent="0.35">
      <c r="D33" s="176" t="s">
        <v>143</v>
      </c>
      <c r="E33" s="177"/>
      <c r="G33" s="91"/>
      <c r="H33" s="92"/>
      <c r="I33" s="92"/>
      <c r="J33" s="93"/>
    </row>
    <row r="34" spans="4:10" ht="17.25" customHeight="1" x14ac:dyDescent="0.3">
      <c r="D34" s="176" t="s">
        <v>89</v>
      </c>
      <c r="E34" s="177"/>
    </row>
    <row r="35" spans="4:10" ht="15.95" customHeight="1" thickBot="1" x14ac:dyDescent="0.35">
      <c r="D35" s="174" t="s">
        <v>94</v>
      </c>
      <c r="E35" s="175"/>
    </row>
    <row r="36" spans="4:10" ht="15.95" customHeight="1" x14ac:dyDescent="0.3"/>
    <row r="37" spans="4:10" ht="15.95" customHeight="1" x14ac:dyDescent="0.3"/>
    <row r="38" spans="4:10" ht="15.95" customHeight="1" x14ac:dyDescent="0.3"/>
    <row r="39" spans="4:10" ht="15.95" customHeight="1" x14ac:dyDescent="0.3"/>
  </sheetData>
  <mergeCells count="21">
    <mergeCell ref="D24:D25"/>
    <mergeCell ref="H2:H3"/>
    <mergeCell ref="D28:E28"/>
    <mergeCell ref="B2:C3"/>
    <mergeCell ref="B4:L5"/>
    <mergeCell ref="K2:K3"/>
    <mergeCell ref="L2:L3"/>
    <mergeCell ref="I2:J3"/>
    <mergeCell ref="D2:D3"/>
    <mergeCell ref="E2:E3"/>
    <mergeCell ref="F2:G3"/>
    <mergeCell ref="D35:E35"/>
    <mergeCell ref="D34:E34"/>
    <mergeCell ref="D27:E27"/>
    <mergeCell ref="D26:E26"/>
    <mergeCell ref="C27:C32"/>
    <mergeCell ref="D30:E30"/>
    <mergeCell ref="D31:E31"/>
    <mergeCell ref="D32:E32"/>
    <mergeCell ref="D29:E29"/>
    <mergeCell ref="D33:E3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B1:L35"/>
  <sheetViews>
    <sheetView zoomScale="80" zoomScaleNormal="8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I16" sqref="I16"/>
    </sheetView>
  </sheetViews>
  <sheetFormatPr defaultRowHeight="16.5" x14ac:dyDescent="0.3"/>
  <cols>
    <col min="1" max="1" width="1.75" customWidth="1"/>
    <col min="2" max="2" width="16.625" customWidth="1"/>
    <col min="3" max="3" width="27.5" bestFit="1" customWidth="1"/>
    <col min="4" max="4" width="16.125" customWidth="1"/>
    <col min="5" max="5" width="14.375" customWidth="1"/>
    <col min="6" max="6" width="12.25" customWidth="1"/>
    <col min="7" max="8" width="0.125" hidden="1" customWidth="1"/>
    <col min="9" max="9" width="13.625" customWidth="1"/>
    <col min="10" max="10" width="60.625" customWidth="1"/>
    <col min="12" max="12" width="18.5" customWidth="1"/>
  </cols>
  <sheetData>
    <row r="1" spans="2:12" ht="31.5" customHeight="1" thickBot="1" x14ac:dyDescent="0.35">
      <c r="B1" s="60" t="s">
        <v>36</v>
      </c>
      <c r="C1" s="73" t="e">
        <f>SUMIF(#REF!,"="&amp;"",#REF!)</f>
        <v>#REF!</v>
      </c>
      <c r="D1" s="62" t="s">
        <v>71</v>
      </c>
      <c r="E1" s="215" t="e">
        <f>SUM(#REF!)</f>
        <v>#REF!</v>
      </c>
      <c r="F1" s="216"/>
    </row>
    <row r="2" spans="2:12" ht="18" customHeight="1" x14ac:dyDescent="0.3">
      <c r="B2" s="217" t="s">
        <v>11</v>
      </c>
      <c r="C2" s="217"/>
      <c r="D2" s="217"/>
      <c r="E2" s="217"/>
      <c r="F2" s="217"/>
      <c r="G2" s="217"/>
      <c r="H2" s="217"/>
      <c r="I2" s="217"/>
      <c r="J2" s="110"/>
    </row>
    <row r="3" spans="2:12" ht="18" customHeight="1" x14ac:dyDescent="0.3">
      <c r="B3" s="217"/>
      <c r="C3" s="217"/>
      <c r="D3" s="217"/>
      <c r="E3" s="217"/>
      <c r="F3" s="217"/>
      <c r="G3" s="217"/>
      <c r="H3" s="217"/>
      <c r="I3" s="217"/>
      <c r="J3" s="110"/>
    </row>
    <row r="4" spans="2:12" x14ac:dyDescent="0.3">
      <c r="B4" s="1" t="s">
        <v>12</v>
      </c>
      <c r="C4" s="1" t="s">
        <v>2</v>
      </c>
      <c r="D4" s="1" t="s">
        <v>5</v>
      </c>
      <c r="E4" s="1" t="s">
        <v>4</v>
      </c>
      <c r="F4" s="1" t="s">
        <v>21</v>
      </c>
      <c r="G4" s="1" t="s">
        <v>31</v>
      </c>
      <c r="H4" s="1" t="s">
        <v>32</v>
      </c>
      <c r="I4" s="2" t="s">
        <v>6</v>
      </c>
      <c r="J4" s="2" t="s">
        <v>48</v>
      </c>
    </row>
    <row r="5" spans="2:12" x14ac:dyDescent="0.3">
      <c r="B5" s="2">
        <v>46063</v>
      </c>
      <c r="C5" s="1" t="s">
        <v>193</v>
      </c>
      <c r="D5" s="29" t="s">
        <v>194</v>
      </c>
      <c r="E5" s="164">
        <v>670</v>
      </c>
      <c r="I5" s="2">
        <v>46065</v>
      </c>
    </row>
    <row r="6" spans="2:12" x14ac:dyDescent="0.3">
      <c r="B6" s="2">
        <v>46063</v>
      </c>
      <c r="C6" s="1" t="s">
        <v>181</v>
      </c>
      <c r="D6" s="29" t="s">
        <v>147</v>
      </c>
      <c r="E6" s="164">
        <v>117</v>
      </c>
      <c r="F6" s="2"/>
      <c r="G6" s="1"/>
      <c r="H6" s="129"/>
      <c r="I6" s="2">
        <v>46063</v>
      </c>
      <c r="J6" s="38"/>
    </row>
    <row r="7" spans="2:12" x14ac:dyDescent="0.3">
      <c r="B7" s="2">
        <v>46065</v>
      </c>
      <c r="C7" s="1" t="s">
        <v>198</v>
      </c>
      <c r="D7" s="29" t="s">
        <v>199</v>
      </c>
      <c r="E7" s="164">
        <v>385</v>
      </c>
      <c r="F7" s="2"/>
      <c r="G7" s="1"/>
      <c r="H7" s="129"/>
      <c r="I7" s="2">
        <v>46076</v>
      </c>
      <c r="J7" s="38"/>
    </row>
    <row r="8" spans="2:12" x14ac:dyDescent="0.3">
      <c r="B8" s="2">
        <v>46078</v>
      </c>
      <c r="C8" s="1" t="s">
        <v>181</v>
      </c>
      <c r="D8" s="29" t="s">
        <v>199</v>
      </c>
      <c r="E8" s="164">
        <v>197</v>
      </c>
      <c r="F8" s="2"/>
      <c r="G8" s="1"/>
      <c r="H8" s="129"/>
      <c r="I8" s="2">
        <v>46079</v>
      </c>
      <c r="J8" s="38" t="s">
        <v>211</v>
      </c>
      <c r="L8" s="111"/>
    </row>
    <row r="9" spans="2:12" x14ac:dyDescent="0.3">
      <c r="B9" s="2">
        <v>46079</v>
      </c>
      <c r="C9" s="1" t="s">
        <v>198</v>
      </c>
      <c r="D9" s="29" t="s">
        <v>219</v>
      </c>
      <c r="E9" s="164">
        <v>126</v>
      </c>
      <c r="F9" s="2"/>
      <c r="G9" s="1"/>
      <c r="H9" s="129"/>
      <c r="I9" s="2"/>
      <c r="J9" s="38" t="s">
        <v>220</v>
      </c>
    </row>
    <row r="10" spans="2:12" x14ac:dyDescent="0.3">
      <c r="I10" s="56"/>
    </row>
    <row r="11" spans="2:12" x14ac:dyDescent="0.3">
      <c r="B11" t="s">
        <v>184</v>
      </c>
    </row>
    <row r="12" spans="2:12" x14ac:dyDescent="0.3">
      <c r="B12" t="s">
        <v>63</v>
      </c>
      <c r="E12" s="111"/>
      <c r="K12" s="214"/>
    </row>
    <row r="13" spans="2:12" x14ac:dyDescent="0.3">
      <c r="B13" t="s">
        <v>175</v>
      </c>
      <c r="E13" s="111"/>
      <c r="K13" s="214"/>
    </row>
    <row r="14" spans="2:12" x14ac:dyDescent="0.3">
      <c r="B14" t="s">
        <v>65</v>
      </c>
    </row>
    <row r="15" spans="2:12" ht="15" customHeight="1" x14ac:dyDescent="0.3">
      <c r="B15" t="s">
        <v>64</v>
      </c>
      <c r="F15" s="29"/>
    </row>
    <row r="20" spans="2:10" s="25" customFormat="1" ht="16.5" customHeight="1" x14ac:dyDescent="0.3">
      <c r="B20"/>
      <c r="C20"/>
      <c r="D20"/>
      <c r="E20"/>
      <c r="F20"/>
      <c r="G20"/>
      <c r="H20"/>
      <c r="I20"/>
      <c r="J20"/>
    </row>
    <row r="24" spans="2:10" ht="16.5" customHeight="1" x14ac:dyDescent="0.3"/>
    <row r="25" spans="2:10" ht="15.75" customHeight="1" x14ac:dyDescent="0.3"/>
    <row r="35" spans="12:12" x14ac:dyDescent="0.3">
      <c r="L35" s="111" t="e">
        <f>SUM(#REF!,#REF!)</f>
        <v>#REF!</v>
      </c>
    </row>
  </sheetData>
  <mergeCells count="3">
    <mergeCell ref="K12:K13"/>
    <mergeCell ref="E1:F1"/>
    <mergeCell ref="B2:I3"/>
  </mergeCells>
  <phoneticPr fontId="11" type="noConversion"/>
  <pageMargins left="1" right="1" top="1" bottom="1" header="0.5" footer="0.5"/>
  <pageSetup paperSize="9" scale="3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B1:L23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K30" sqref="K30"/>
    </sheetView>
  </sheetViews>
  <sheetFormatPr defaultRowHeight="16.5" x14ac:dyDescent="0.3"/>
  <cols>
    <col min="1" max="1" width="1.25" customWidth="1"/>
    <col min="2" max="2" width="13.625" customWidth="1"/>
    <col min="3" max="3" width="20.375" customWidth="1"/>
    <col min="4" max="4" width="11.625" customWidth="1"/>
    <col min="5" max="5" width="19.625" style="30" customWidth="1"/>
    <col min="6" max="6" width="12.625" customWidth="1"/>
    <col min="7" max="7" width="13.625" customWidth="1"/>
    <col min="8" max="8" width="12.75" customWidth="1"/>
    <col min="9" max="11" width="13.625" customWidth="1"/>
    <col min="12" max="12" width="60.625" customWidth="1"/>
    <col min="13" max="13" width="35.5" customWidth="1"/>
    <col min="14" max="14" width="33.375" customWidth="1"/>
  </cols>
  <sheetData>
    <row r="1" spans="2:12" ht="7.5" customHeight="1" thickBot="1" x14ac:dyDescent="0.35"/>
    <row r="2" spans="2:12" ht="15.75" customHeight="1" x14ac:dyDescent="0.3">
      <c r="B2" s="183" t="s">
        <v>75</v>
      </c>
      <c r="C2" s="192">
        <f>SUMIF(Tabela42617[PAGO EM],"="&amp;"",Tabela42617[SINAL])</f>
        <v>0</v>
      </c>
      <c r="D2" s="183" t="s">
        <v>76</v>
      </c>
      <c r="E2" s="193">
        <f>SUMIF(Tabela42617[[PAGO EM ]],"="&amp;"",Tabela42617[FINAL])</f>
        <v>0</v>
      </c>
      <c r="F2" s="183" t="s">
        <v>73</v>
      </c>
      <c r="G2" s="192">
        <f>SUM(C2,E2)</f>
        <v>0</v>
      </c>
      <c r="H2" s="193"/>
      <c r="I2" s="223" t="s">
        <v>74</v>
      </c>
      <c r="J2" s="225" t="e">
        <f>SUM(#REF!,#REF!)</f>
        <v>#REF!</v>
      </c>
      <c r="K2" s="226"/>
    </row>
    <row r="3" spans="2:12" ht="17.25" customHeight="1" thickBot="1" x14ac:dyDescent="0.35">
      <c r="B3" s="206"/>
      <c r="C3" s="222"/>
      <c r="D3" s="206"/>
      <c r="E3" s="205"/>
      <c r="F3" s="206"/>
      <c r="G3" s="222"/>
      <c r="H3" s="205"/>
      <c r="I3" s="224"/>
      <c r="J3" s="227"/>
      <c r="K3" s="228"/>
    </row>
    <row r="4" spans="2:12" ht="18" customHeight="1" x14ac:dyDescent="0.3">
      <c r="B4" s="221" t="s">
        <v>8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</row>
    <row r="5" spans="2:12" ht="18" customHeight="1" x14ac:dyDescent="0.3"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</row>
    <row r="6" spans="2:12" x14ac:dyDescent="0.3">
      <c r="B6" s="8" t="s">
        <v>12</v>
      </c>
      <c r="C6" s="8" t="s">
        <v>2</v>
      </c>
      <c r="D6" s="8" t="s">
        <v>1</v>
      </c>
      <c r="E6" s="8" t="s">
        <v>5</v>
      </c>
      <c r="F6" s="8" t="s">
        <v>17</v>
      </c>
      <c r="G6" s="8" t="s">
        <v>18</v>
      </c>
      <c r="H6" s="8" t="s">
        <v>16</v>
      </c>
      <c r="I6" s="8" t="s">
        <v>25</v>
      </c>
      <c r="J6" s="9" t="s">
        <v>6</v>
      </c>
      <c r="K6" s="9" t="s">
        <v>30</v>
      </c>
      <c r="L6" s="9" t="s">
        <v>34</v>
      </c>
    </row>
    <row r="7" spans="2:12" ht="17.25" thickBot="1" x14ac:dyDescent="0.35">
      <c r="B7" s="2"/>
      <c r="C7" s="71"/>
      <c r="D7" s="71"/>
      <c r="E7" s="29"/>
      <c r="F7" s="164"/>
      <c r="G7" s="26"/>
      <c r="H7" s="140"/>
      <c r="I7" s="141"/>
      <c r="J7" s="113"/>
      <c r="K7" s="26"/>
      <c r="L7" s="29"/>
    </row>
    <row r="8" spans="2:12" x14ac:dyDescent="0.3">
      <c r="D8" s="102" t="s">
        <v>51</v>
      </c>
      <c r="E8" s="103"/>
      <c r="F8" s="104"/>
      <c r="H8" s="235" t="s">
        <v>52</v>
      </c>
      <c r="I8" s="236"/>
      <c r="J8" s="236"/>
      <c r="K8" s="237"/>
    </row>
    <row r="9" spans="2:12" x14ac:dyDescent="0.3">
      <c r="D9" s="105"/>
      <c r="E9" s="100"/>
      <c r="F9" s="106"/>
      <c r="H9" s="232" t="s">
        <v>49</v>
      </c>
      <c r="I9" s="233"/>
      <c r="J9" s="233"/>
      <c r="K9" s="234"/>
    </row>
    <row r="10" spans="2:12" x14ac:dyDescent="0.3">
      <c r="C10" s="75">
        <v>45520</v>
      </c>
      <c r="D10" s="107" t="s">
        <v>102</v>
      </c>
      <c r="E10" s="101"/>
      <c r="F10" s="106"/>
      <c r="H10" s="232" t="s">
        <v>53</v>
      </c>
      <c r="I10" s="233"/>
      <c r="J10" s="233"/>
      <c r="K10" s="234"/>
    </row>
    <row r="11" spans="2:12" x14ac:dyDescent="0.3">
      <c r="D11" s="107" t="s">
        <v>103</v>
      </c>
      <c r="E11" s="101"/>
      <c r="F11" s="106"/>
      <c r="H11" s="232" t="s">
        <v>53</v>
      </c>
      <c r="I11" s="233"/>
      <c r="J11" s="233"/>
      <c r="K11" s="234"/>
    </row>
    <row r="12" spans="2:12" ht="17.25" thickBot="1" x14ac:dyDescent="0.35">
      <c r="D12" s="107" t="s">
        <v>104</v>
      </c>
      <c r="E12" s="101"/>
      <c r="F12" s="106"/>
      <c r="H12" s="229" t="s">
        <v>54</v>
      </c>
      <c r="I12" s="230"/>
      <c r="J12" s="230"/>
      <c r="K12" s="231"/>
    </row>
    <row r="13" spans="2:12" ht="17.25" thickBot="1" x14ac:dyDescent="0.35">
      <c r="D13" s="218" t="s">
        <v>101</v>
      </c>
      <c r="E13" s="219"/>
      <c r="F13" s="220"/>
    </row>
    <row r="16" spans="2:12" ht="16.5" customHeight="1" x14ac:dyDescent="0.3"/>
    <row r="17" ht="17.25" customHeight="1" x14ac:dyDescent="0.3"/>
    <row r="21" ht="16.5" customHeight="1" x14ac:dyDescent="0.3"/>
    <row r="22" ht="16.5" customHeight="1" x14ac:dyDescent="0.3"/>
    <row r="23" ht="17.25" customHeight="1" x14ac:dyDescent="0.3"/>
  </sheetData>
  <mergeCells count="15">
    <mergeCell ref="D13:F13"/>
    <mergeCell ref="B2:B3"/>
    <mergeCell ref="B4:L5"/>
    <mergeCell ref="D2:D3"/>
    <mergeCell ref="C2:C3"/>
    <mergeCell ref="E2:E3"/>
    <mergeCell ref="I2:I3"/>
    <mergeCell ref="J2:K3"/>
    <mergeCell ref="F2:F3"/>
    <mergeCell ref="G2:H3"/>
    <mergeCell ref="H12:K12"/>
    <mergeCell ref="H11:K11"/>
    <mergeCell ref="H10:K10"/>
    <mergeCell ref="H9:K9"/>
    <mergeCell ref="H8:K8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8EC6-6BB6-4519-A923-14D365E70272}">
  <sheetPr>
    <tabColor theme="4" tint="0.39997558519241921"/>
  </sheetPr>
  <dimension ref="B1:M29"/>
  <sheetViews>
    <sheetView zoomScale="80" zoomScaleNormal="80" workbookViewId="0">
      <selection activeCell="B13" sqref="B13"/>
    </sheetView>
  </sheetViews>
  <sheetFormatPr defaultRowHeight="16.5" x14ac:dyDescent="0.3"/>
  <cols>
    <col min="1" max="1" width="1.5" customWidth="1"/>
    <col min="2" max="2" width="13.5" style="3" customWidth="1"/>
    <col min="3" max="3" width="23.5" customWidth="1"/>
    <col min="4" max="4" width="9.5" customWidth="1"/>
    <col min="5" max="5" width="24.625" customWidth="1"/>
    <col min="6" max="6" width="13" customWidth="1"/>
    <col min="7" max="7" width="14.125" customWidth="1"/>
    <col min="8" max="8" width="13.5" customWidth="1"/>
    <col min="9" max="9" width="15.375" bestFit="1" customWidth="1"/>
    <col min="10" max="10" width="14.5" customWidth="1"/>
    <col min="11" max="11" width="13.75" customWidth="1"/>
    <col min="12" max="12" width="25.25" customWidth="1"/>
    <col min="13" max="13" width="25.5" customWidth="1"/>
    <col min="14" max="14" width="0.25" customWidth="1"/>
    <col min="15" max="15" width="19.5" customWidth="1"/>
  </cols>
  <sheetData>
    <row r="1" spans="2:13" ht="7.5" customHeight="1" thickBot="1" x14ac:dyDescent="0.35"/>
    <row r="2" spans="2:13" x14ac:dyDescent="0.3">
      <c r="B2" s="183" t="s">
        <v>40</v>
      </c>
      <c r="C2" s="196">
        <f>SUMIF(G7:G7,"="&amp;"",F7:F7)</f>
        <v>0</v>
      </c>
      <c r="D2" s="183" t="s">
        <v>39</v>
      </c>
      <c r="E2" s="249">
        <f>SUMIF(I8:I10,"="&amp;"",H8:H10)</f>
        <v>0</v>
      </c>
      <c r="F2" s="250" t="s">
        <v>73</v>
      </c>
      <c r="G2" s="249">
        <f>SUM(C2,E2)</f>
        <v>0</v>
      </c>
      <c r="H2" s="223" t="s">
        <v>72</v>
      </c>
      <c r="I2" s="210">
        <f>SUM(F7:F7,H7:H7)</f>
        <v>9622</v>
      </c>
      <c r="J2" s="241"/>
    </row>
    <row r="3" spans="2:13" ht="27.75" customHeight="1" thickBot="1" x14ac:dyDescent="0.35">
      <c r="B3" s="206"/>
      <c r="C3" s="248"/>
      <c r="D3" s="206"/>
      <c r="E3" s="248"/>
      <c r="F3" s="251"/>
      <c r="G3" s="248"/>
      <c r="H3" s="224"/>
      <c r="I3" s="242"/>
      <c r="J3" s="243"/>
    </row>
    <row r="4" spans="2:13" ht="18" customHeight="1" x14ac:dyDescent="0.3">
      <c r="B4" s="244" t="s">
        <v>146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</row>
    <row r="5" spans="2:13" ht="18" customHeight="1" x14ac:dyDescent="0.3"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</row>
    <row r="6" spans="2:13" x14ac:dyDescent="0.3">
      <c r="B6" s="68" t="s">
        <v>12</v>
      </c>
      <c r="C6" s="69" t="s">
        <v>2</v>
      </c>
      <c r="D6" s="69" t="s">
        <v>1</v>
      </c>
      <c r="E6" s="69" t="s">
        <v>5</v>
      </c>
      <c r="F6" s="69" t="s">
        <v>22</v>
      </c>
      <c r="G6" s="69" t="s">
        <v>18</v>
      </c>
      <c r="H6" s="69" t="s">
        <v>16</v>
      </c>
      <c r="I6" s="69" t="s">
        <v>21</v>
      </c>
      <c r="J6" s="68" t="s">
        <v>6</v>
      </c>
      <c r="K6" s="68" t="s">
        <v>13</v>
      </c>
      <c r="L6" s="68" t="s">
        <v>48</v>
      </c>
    </row>
    <row r="7" spans="2:13" x14ac:dyDescent="0.3">
      <c r="B7" s="2">
        <v>46056</v>
      </c>
      <c r="C7" s="37" t="s">
        <v>167</v>
      </c>
      <c r="D7" s="11">
        <v>204826</v>
      </c>
      <c r="E7" s="25" t="s">
        <v>186</v>
      </c>
      <c r="F7" s="61">
        <v>4811</v>
      </c>
      <c r="G7" s="46">
        <v>46057</v>
      </c>
      <c r="H7" s="74">
        <v>4811</v>
      </c>
      <c r="I7" s="129"/>
      <c r="J7" s="28"/>
      <c r="K7" s="26">
        <v>46063</v>
      </c>
      <c r="L7" s="45"/>
      <c r="M7" t="s">
        <v>26</v>
      </c>
    </row>
    <row r="8" spans="2:13" x14ac:dyDescent="0.3">
      <c r="K8" t="s">
        <v>26</v>
      </c>
    </row>
    <row r="11" spans="2:13" x14ac:dyDescent="0.3">
      <c r="E11" s="245" t="s">
        <v>107</v>
      </c>
      <c r="F11" s="247" t="s">
        <v>108</v>
      </c>
      <c r="G11" s="247"/>
    </row>
    <row r="12" spans="2:13" ht="17.25" thickBot="1" x14ac:dyDescent="0.35">
      <c r="E12" s="246"/>
      <c r="F12" s="247"/>
      <c r="G12" s="247"/>
    </row>
    <row r="13" spans="2:13" ht="17.25" thickBot="1" x14ac:dyDescent="0.35">
      <c r="C13" s="75">
        <v>45524</v>
      </c>
      <c r="D13" s="238" t="s">
        <v>112</v>
      </c>
      <c r="E13" s="239"/>
      <c r="F13" s="240"/>
    </row>
    <row r="14" spans="2:13" ht="17.25" thickBot="1" x14ac:dyDescent="0.35">
      <c r="C14" s="75">
        <v>45629</v>
      </c>
      <c r="D14" s="76" t="s">
        <v>142</v>
      </c>
      <c r="E14" s="77"/>
      <c r="F14" s="78"/>
      <c r="H14" s="83"/>
      <c r="I14" s="84"/>
      <c r="J14" s="85"/>
    </row>
    <row r="15" spans="2:13" ht="17.25" thickBot="1" x14ac:dyDescent="0.35">
      <c r="C15" s="3"/>
      <c r="D15" s="76" t="s">
        <v>113</v>
      </c>
      <c r="E15" s="77"/>
      <c r="F15" s="78"/>
      <c r="H15" s="83"/>
      <c r="I15" s="84"/>
      <c r="J15" s="85"/>
    </row>
    <row r="16" spans="2:13" ht="17.25" thickBot="1" x14ac:dyDescent="0.35">
      <c r="D16" s="76" t="s">
        <v>114</v>
      </c>
      <c r="E16" s="77"/>
      <c r="F16" s="78"/>
      <c r="H16" s="83"/>
      <c r="I16" s="84"/>
      <c r="J16" s="85"/>
    </row>
    <row r="17" spans="3:10" ht="17.25" thickBot="1" x14ac:dyDescent="0.35">
      <c r="C17" s="10"/>
      <c r="D17" s="238" t="s">
        <v>115</v>
      </c>
      <c r="E17" s="239"/>
      <c r="F17" s="240"/>
      <c r="G17" s="75">
        <v>45474</v>
      </c>
      <c r="H17" s="109" t="s">
        <v>99</v>
      </c>
      <c r="I17" s="109"/>
      <c r="J17" s="109"/>
    </row>
    <row r="18" spans="3:10" ht="17.25" thickBot="1" x14ac:dyDescent="0.35">
      <c r="D18" s="238" t="s">
        <v>116</v>
      </c>
      <c r="E18" s="239"/>
      <c r="F18" s="240"/>
    </row>
    <row r="19" spans="3:10" ht="17.25" thickBot="1" x14ac:dyDescent="0.35">
      <c r="G19" s="75">
        <v>45461</v>
      </c>
      <c r="H19" s="83" t="s">
        <v>121</v>
      </c>
      <c r="I19" s="84"/>
      <c r="J19" s="85"/>
    </row>
    <row r="20" spans="3:10" ht="17.25" thickBot="1" x14ac:dyDescent="0.35">
      <c r="C20" s="75">
        <v>45629</v>
      </c>
      <c r="D20" s="79" t="s">
        <v>139</v>
      </c>
      <c r="E20" s="77"/>
      <c r="F20" s="80"/>
      <c r="H20" s="83" t="s">
        <v>120</v>
      </c>
      <c r="I20" s="84"/>
      <c r="J20" s="85"/>
    </row>
    <row r="21" spans="3:10" ht="17.25" thickBot="1" x14ac:dyDescent="0.35">
      <c r="C21" s="75">
        <v>45629</v>
      </c>
      <c r="D21" s="79" t="s">
        <v>140</v>
      </c>
      <c r="E21" s="77"/>
      <c r="F21" s="80"/>
      <c r="H21" s="83" t="s">
        <v>119</v>
      </c>
      <c r="I21" s="84"/>
      <c r="J21" s="85"/>
    </row>
    <row r="22" spans="3:10" ht="16.5" customHeight="1" thickBot="1" x14ac:dyDescent="0.35">
      <c r="C22" s="75">
        <v>45629</v>
      </c>
      <c r="D22" s="79" t="s">
        <v>141</v>
      </c>
      <c r="E22" s="77"/>
      <c r="F22" s="80"/>
      <c r="G22" s="75">
        <v>45629</v>
      </c>
      <c r="H22" s="83" t="s">
        <v>138</v>
      </c>
      <c r="I22" s="84"/>
      <c r="J22" s="85"/>
    </row>
    <row r="23" spans="3:10" ht="17.25" customHeight="1" thickBot="1" x14ac:dyDescent="0.35">
      <c r="D23" s="81" t="s">
        <v>117</v>
      </c>
      <c r="E23" s="82"/>
      <c r="F23" s="80"/>
    </row>
    <row r="24" spans="3:10" ht="17.25" thickBot="1" x14ac:dyDescent="0.35">
      <c r="D24" s="108" t="s">
        <v>118</v>
      </c>
      <c r="E24" s="82"/>
      <c r="F24" s="80"/>
    </row>
    <row r="25" spans="3:10" ht="16.5" customHeight="1" x14ac:dyDescent="0.3"/>
    <row r="26" spans="3:10" ht="17.25" customHeight="1" x14ac:dyDescent="0.3"/>
    <row r="27" spans="3:10" ht="16.5" customHeight="1" x14ac:dyDescent="0.3"/>
    <row r="28" spans="3:10" ht="16.5" customHeight="1" x14ac:dyDescent="0.3"/>
    <row r="29" spans="3:10" ht="17.25" customHeight="1" x14ac:dyDescent="0.3"/>
  </sheetData>
  <mergeCells count="14">
    <mergeCell ref="D17:F17"/>
    <mergeCell ref="D18:F18"/>
    <mergeCell ref="H2:H3"/>
    <mergeCell ref="I2:J3"/>
    <mergeCell ref="B4:L5"/>
    <mergeCell ref="E11:E12"/>
    <mergeCell ref="F11:G12"/>
    <mergeCell ref="D13:F13"/>
    <mergeCell ref="B2:B3"/>
    <mergeCell ref="C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B542-088E-442C-B2BA-60A74CA5C4F0}">
  <sheetPr>
    <tabColor theme="4" tint="0.39997558519241921"/>
  </sheetPr>
  <dimension ref="A1:K25"/>
  <sheetViews>
    <sheetView workbookViewId="0">
      <selection activeCell="D21" sqref="D21"/>
    </sheetView>
  </sheetViews>
  <sheetFormatPr defaultRowHeight="16.5" x14ac:dyDescent="0.3"/>
  <cols>
    <col min="1" max="1" width="8.875" customWidth="1"/>
    <col min="2" max="2" width="23.625" customWidth="1"/>
    <col min="3" max="3" width="26.875" customWidth="1"/>
    <col min="4" max="4" width="11.75" customWidth="1"/>
    <col min="5" max="5" width="9" customWidth="1"/>
    <col min="6" max="6" width="0.125" hidden="1" customWidth="1"/>
    <col min="7" max="7" width="10.25" hidden="1" customWidth="1"/>
    <col min="8" max="8" width="12.125" customWidth="1"/>
    <col min="9" max="9" width="42.375" customWidth="1"/>
  </cols>
  <sheetData>
    <row r="1" spans="1:11" x14ac:dyDescent="0.3">
      <c r="A1" s="252" t="s">
        <v>152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1" ht="16.5" customHeight="1" x14ac:dyDescent="0.3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16.5" customHeight="1" x14ac:dyDescent="0.3">
      <c r="A3" s="142" t="s">
        <v>12</v>
      </c>
      <c r="B3" s="143" t="s">
        <v>2</v>
      </c>
      <c r="C3" s="143" t="s">
        <v>5</v>
      </c>
      <c r="D3" s="143" t="s">
        <v>17</v>
      </c>
      <c r="E3" s="143" t="s">
        <v>21</v>
      </c>
      <c r="F3" s="143" t="s">
        <v>31</v>
      </c>
      <c r="G3" s="143" t="s">
        <v>32</v>
      </c>
      <c r="H3" s="143" t="s">
        <v>150</v>
      </c>
      <c r="I3" s="144" t="s">
        <v>151</v>
      </c>
    </row>
    <row r="4" spans="1:11" x14ac:dyDescent="0.3">
      <c r="A4" s="151"/>
      <c r="B4" s="145"/>
      <c r="C4" s="145"/>
      <c r="D4" s="147"/>
      <c r="E4" s="155"/>
      <c r="F4" s="148"/>
      <c r="G4" s="148"/>
      <c r="H4" s="155"/>
      <c r="I4" s="146"/>
    </row>
    <row r="7" spans="1:11" x14ac:dyDescent="0.3">
      <c r="D7" s="111">
        <f>SUM(D5:D6)</f>
        <v>0</v>
      </c>
    </row>
    <row r="10" spans="1:11" x14ac:dyDescent="0.3">
      <c r="C10" s="176" t="s">
        <v>160</v>
      </c>
      <c r="D10" s="177"/>
    </row>
    <row r="11" spans="1:11" x14ac:dyDescent="0.3">
      <c r="C11" s="176" t="s">
        <v>156</v>
      </c>
      <c r="D11" s="177"/>
    </row>
    <row r="12" spans="1:11" x14ac:dyDescent="0.3">
      <c r="C12" s="176" t="s">
        <v>157</v>
      </c>
      <c r="D12" s="177"/>
    </row>
    <row r="13" spans="1:11" x14ac:dyDescent="0.3">
      <c r="C13" s="176" t="s">
        <v>158</v>
      </c>
      <c r="D13" s="177"/>
    </row>
    <row r="14" spans="1:11" x14ac:dyDescent="0.3">
      <c r="C14" s="176" t="s">
        <v>159</v>
      </c>
      <c r="D14" s="177"/>
    </row>
    <row r="15" spans="1:11" x14ac:dyDescent="0.3">
      <c r="C15" s="176" t="s">
        <v>164</v>
      </c>
      <c r="D15" s="177"/>
    </row>
    <row r="24" ht="16.5" customHeight="1" x14ac:dyDescent="0.3"/>
    <row r="25" ht="16.5" customHeight="1" x14ac:dyDescent="0.3"/>
  </sheetData>
  <mergeCells count="7">
    <mergeCell ref="C15:D15"/>
    <mergeCell ref="C10:D10"/>
    <mergeCell ref="A1:K2"/>
    <mergeCell ref="C11:D11"/>
    <mergeCell ref="C12:D12"/>
    <mergeCell ref="C13:D13"/>
    <mergeCell ref="C14:D14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M29"/>
  <sheetViews>
    <sheetView zoomScale="80" zoomScaleNormal="80" workbookViewId="0">
      <pane xSplit="12" ySplit="6" topLeftCell="M7" activePane="bottomRight" state="frozen"/>
      <selection pane="topRight" activeCell="L1" sqref="L1"/>
      <selection pane="bottomLeft" activeCell="A6" sqref="A6"/>
      <selection pane="bottomRight" activeCell="H7" sqref="H7"/>
    </sheetView>
  </sheetViews>
  <sheetFormatPr defaultRowHeight="16.5" x14ac:dyDescent="0.3"/>
  <cols>
    <col min="1" max="1" width="1.5" customWidth="1"/>
    <col min="2" max="2" width="13.5" style="3" customWidth="1"/>
    <col min="3" max="3" width="23.5" customWidth="1"/>
    <col min="4" max="4" width="9.5" customWidth="1"/>
    <col min="5" max="5" width="24.625" customWidth="1"/>
    <col min="6" max="6" width="13" customWidth="1"/>
    <col min="7" max="7" width="14.875" bestFit="1" customWidth="1"/>
    <col min="8" max="8" width="12.625" customWidth="1"/>
    <col min="9" max="9" width="17.25" customWidth="1"/>
    <col min="10" max="10" width="14.5" customWidth="1"/>
    <col min="11" max="11" width="13.75" customWidth="1"/>
    <col min="12" max="12" width="25.25" customWidth="1"/>
    <col min="13" max="13" width="25.5" customWidth="1"/>
    <col min="14" max="14" width="0.25" customWidth="1"/>
    <col min="15" max="15" width="19.5" customWidth="1"/>
  </cols>
  <sheetData>
    <row r="1" spans="2:13" ht="7.5" customHeight="1" thickBot="1" x14ac:dyDescent="0.35"/>
    <row r="2" spans="2:13" x14ac:dyDescent="0.3">
      <c r="B2" s="183" t="s">
        <v>40</v>
      </c>
      <c r="C2" s="196" t="e">
        <f>SUMIF(#REF!,"="&amp;"",#REF!)</f>
        <v>#REF!</v>
      </c>
      <c r="D2" s="183" t="s">
        <v>39</v>
      </c>
      <c r="E2" s="249">
        <f>SUMIF(I8:I10,"="&amp;"",H8:H10)</f>
        <v>0</v>
      </c>
      <c r="F2" s="250" t="s">
        <v>73</v>
      </c>
      <c r="G2" s="249" t="e">
        <f>SUM(C2,E2)</f>
        <v>#REF!</v>
      </c>
      <c r="H2" s="223" t="s">
        <v>72</v>
      </c>
      <c r="I2" s="210" t="e">
        <f>SUM(#REF!,#REF!)</f>
        <v>#REF!</v>
      </c>
      <c r="J2" s="241"/>
    </row>
    <row r="3" spans="2:13" ht="27.75" customHeight="1" thickBot="1" x14ac:dyDescent="0.35">
      <c r="B3" s="206"/>
      <c r="C3" s="248"/>
      <c r="D3" s="206"/>
      <c r="E3" s="248"/>
      <c r="F3" s="251"/>
      <c r="G3" s="248"/>
      <c r="H3" s="224"/>
      <c r="I3" s="242"/>
      <c r="J3" s="243"/>
    </row>
    <row r="4" spans="2:13" ht="18" customHeight="1" x14ac:dyDescent="0.3">
      <c r="B4" s="253" t="s">
        <v>9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</row>
    <row r="5" spans="2:13" ht="18" customHeight="1" x14ac:dyDescent="0.3"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</row>
    <row r="6" spans="2:13" x14ac:dyDescent="0.3">
      <c r="B6" s="68" t="s">
        <v>12</v>
      </c>
      <c r="C6" s="69" t="s">
        <v>2</v>
      </c>
      <c r="D6" s="69" t="s">
        <v>1</v>
      </c>
      <c r="E6" s="69" t="s">
        <v>5</v>
      </c>
      <c r="F6" s="69" t="s">
        <v>22</v>
      </c>
      <c r="G6" s="69" t="s">
        <v>18</v>
      </c>
      <c r="H6" s="69" t="s">
        <v>16</v>
      </c>
      <c r="I6" s="69" t="s">
        <v>21</v>
      </c>
      <c r="J6" s="68" t="s">
        <v>6</v>
      </c>
      <c r="K6" s="68" t="s">
        <v>13</v>
      </c>
      <c r="L6" s="68" t="s">
        <v>48</v>
      </c>
    </row>
    <row r="7" spans="2:13" x14ac:dyDescent="0.3">
      <c r="B7" s="2"/>
      <c r="C7" s="37"/>
      <c r="D7" s="37"/>
      <c r="E7" s="29"/>
      <c r="F7" s="5"/>
      <c r="G7" s="26"/>
      <c r="H7" s="140"/>
      <c r="I7" s="129"/>
      <c r="J7" s="28"/>
      <c r="K7" s="26"/>
      <c r="L7" s="45"/>
      <c r="M7" t="s">
        <v>26</v>
      </c>
    </row>
    <row r="8" spans="2:13" x14ac:dyDescent="0.3">
      <c r="K8" t="s">
        <v>26</v>
      </c>
    </row>
    <row r="11" spans="2:13" x14ac:dyDescent="0.3">
      <c r="E11" s="245" t="s">
        <v>107</v>
      </c>
      <c r="F11" s="247" t="s">
        <v>108</v>
      </c>
      <c r="G11" s="247"/>
    </row>
    <row r="12" spans="2:13" ht="17.25" thickBot="1" x14ac:dyDescent="0.35">
      <c r="E12" s="246"/>
      <c r="F12" s="247"/>
      <c r="G12" s="247"/>
    </row>
    <row r="13" spans="2:13" ht="17.25" thickBot="1" x14ac:dyDescent="0.35">
      <c r="C13" s="75">
        <v>45524</v>
      </c>
      <c r="D13" s="238" t="s">
        <v>112</v>
      </c>
      <c r="E13" s="239"/>
      <c r="F13" s="240"/>
    </row>
    <row r="14" spans="2:13" ht="17.25" thickBot="1" x14ac:dyDescent="0.35">
      <c r="C14" s="75">
        <v>45629</v>
      </c>
      <c r="D14" s="76" t="s">
        <v>142</v>
      </c>
      <c r="E14" s="77"/>
      <c r="F14" s="78"/>
      <c r="H14" s="83"/>
      <c r="I14" s="84"/>
      <c r="J14" s="85"/>
    </row>
    <row r="15" spans="2:13" ht="17.25" thickBot="1" x14ac:dyDescent="0.35">
      <c r="C15" s="3"/>
      <c r="D15" s="76" t="s">
        <v>113</v>
      </c>
      <c r="E15" s="77"/>
      <c r="F15" s="78"/>
      <c r="H15" s="83"/>
      <c r="I15" s="84"/>
      <c r="J15" s="85"/>
    </row>
    <row r="16" spans="2:13" ht="17.25" thickBot="1" x14ac:dyDescent="0.35">
      <c r="D16" s="76" t="s">
        <v>114</v>
      </c>
      <c r="E16" s="77"/>
      <c r="F16" s="78"/>
      <c r="H16" s="83"/>
      <c r="I16" s="84"/>
      <c r="J16" s="85"/>
    </row>
    <row r="17" spans="3:10" ht="17.25" thickBot="1" x14ac:dyDescent="0.35">
      <c r="C17" s="10"/>
      <c r="D17" s="238" t="s">
        <v>115</v>
      </c>
      <c r="E17" s="239"/>
      <c r="F17" s="240"/>
      <c r="G17" s="75">
        <v>45474</v>
      </c>
      <c r="H17" s="109" t="s">
        <v>99</v>
      </c>
      <c r="I17" s="109"/>
      <c r="J17" s="109"/>
    </row>
    <row r="18" spans="3:10" ht="17.25" thickBot="1" x14ac:dyDescent="0.35">
      <c r="D18" s="238" t="s">
        <v>116</v>
      </c>
      <c r="E18" s="239"/>
      <c r="F18" s="240"/>
    </row>
    <row r="19" spans="3:10" ht="17.25" thickBot="1" x14ac:dyDescent="0.35">
      <c r="G19" s="75">
        <v>45461</v>
      </c>
      <c r="H19" s="83" t="s">
        <v>121</v>
      </c>
      <c r="I19" s="84"/>
      <c r="J19" s="85"/>
    </row>
    <row r="20" spans="3:10" ht="17.25" thickBot="1" x14ac:dyDescent="0.35">
      <c r="C20" s="75">
        <v>45629</v>
      </c>
      <c r="D20" s="79" t="s">
        <v>139</v>
      </c>
      <c r="E20" s="77"/>
      <c r="F20" s="80"/>
      <c r="H20" s="83" t="s">
        <v>120</v>
      </c>
      <c r="I20" s="84"/>
      <c r="J20" s="85"/>
    </row>
    <row r="21" spans="3:10" ht="17.25" thickBot="1" x14ac:dyDescent="0.35">
      <c r="C21" s="75">
        <v>45629</v>
      </c>
      <c r="D21" s="79" t="s">
        <v>140</v>
      </c>
      <c r="E21" s="77"/>
      <c r="F21" s="80"/>
      <c r="H21" s="83" t="s">
        <v>119</v>
      </c>
      <c r="I21" s="84"/>
      <c r="J21" s="85"/>
    </row>
    <row r="22" spans="3:10" ht="16.5" customHeight="1" thickBot="1" x14ac:dyDescent="0.35">
      <c r="C22" s="75">
        <v>45629</v>
      </c>
      <c r="D22" s="79" t="s">
        <v>141</v>
      </c>
      <c r="E22" s="77"/>
      <c r="F22" s="80"/>
      <c r="G22" s="75">
        <v>45629</v>
      </c>
      <c r="H22" s="83" t="s">
        <v>138</v>
      </c>
      <c r="I22" s="84"/>
      <c r="J22" s="85"/>
    </row>
    <row r="23" spans="3:10" ht="17.25" customHeight="1" thickBot="1" x14ac:dyDescent="0.35">
      <c r="D23" s="81" t="s">
        <v>117</v>
      </c>
      <c r="E23" s="82"/>
      <c r="F23" s="80"/>
    </row>
    <row r="24" spans="3:10" ht="17.25" thickBot="1" x14ac:dyDescent="0.35">
      <c r="D24" s="108" t="s">
        <v>118</v>
      </c>
      <c r="E24" s="82"/>
      <c r="F24" s="80"/>
    </row>
    <row r="25" spans="3:10" ht="16.5" customHeight="1" x14ac:dyDescent="0.3"/>
    <row r="26" spans="3:10" ht="17.25" customHeight="1" x14ac:dyDescent="0.3"/>
    <row r="27" spans="3:10" ht="16.5" customHeight="1" x14ac:dyDescent="0.3"/>
    <row r="28" spans="3:10" ht="16.5" customHeight="1" x14ac:dyDescent="0.3"/>
    <row r="29" spans="3:10" ht="17.25" customHeight="1" x14ac:dyDescent="0.3"/>
  </sheetData>
  <mergeCells count="14">
    <mergeCell ref="H2:H3"/>
    <mergeCell ref="I2:J3"/>
    <mergeCell ref="B2:B3"/>
    <mergeCell ref="D2:D3"/>
    <mergeCell ref="F2:F3"/>
    <mergeCell ref="E2:E3"/>
    <mergeCell ref="G2:G3"/>
    <mergeCell ref="C2:C3"/>
    <mergeCell ref="E11:E12"/>
    <mergeCell ref="D18:F18"/>
    <mergeCell ref="D17:F17"/>
    <mergeCell ref="F11:G12"/>
    <mergeCell ref="B4:L5"/>
    <mergeCell ref="D13:F1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  <pageSetUpPr fitToPage="1"/>
  </sheetPr>
  <dimension ref="B1:L26"/>
  <sheetViews>
    <sheetView zoomScale="85" zoomScaleNormal="85" workbookViewId="0">
      <pane xSplit="11" ySplit="6" topLeftCell="L10" activePane="bottomRight" state="frozen"/>
      <selection pane="topRight" activeCell="L1" sqref="L1"/>
      <selection pane="bottomLeft" activeCell="A7" sqref="A7"/>
      <selection pane="bottomRight" activeCell="I14" sqref="I14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.1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9" width="13.625" customWidth="1"/>
    <col min="10" max="10" width="14.875" customWidth="1"/>
    <col min="11" max="11" width="13.625" customWidth="1"/>
    <col min="12" max="12" width="53.87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196">
        <f>SUMIF(G20:G20,"="&amp;"",F20:F20)</f>
        <v>0</v>
      </c>
      <c r="D2" s="183" t="s">
        <v>39</v>
      </c>
      <c r="E2" s="196">
        <f>SUMIF(I20:I20,"="&amp;"",H20:H20)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 t="e">
        <f>SUM(#REF!,#REF!)</f>
        <v>#REF!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55" t="s">
        <v>154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</row>
    <row r="5" spans="2:12" ht="18.75" customHeight="1" x14ac:dyDescent="0.3"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2:12" x14ac:dyDescent="0.3">
      <c r="B6" s="152" t="s">
        <v>12</v>
      </c>
      <c r="C6" s="152" t="s">
        <v>2</v>
      </c>
      <c r="D6" s="152" t="s">
        <v>1</v>
      </c>
      <c r="E6" s="152" t="s">
        <v>5</v>
      </c>
      <c r="F6" s="152" t="s">
        <v>17</v>
      </c>
      <c r="G6" s="152" t="s">
        <v>24</v>
      </c>
      <c r="H6" s="152" t="s">
        <v>46</v>
      </c>
      <c r="I6" s="153" t="s">
        <v>50</v>
      </c>
      <c r="J6" s="154" t="s">
        <v>6</v>
      </c>
      <c r="K6" s="152" t="s">
        <v>27</v>
      </c>
      <c r="L6" s="152" t="s">
        <v>37</v>
      </c>
    </row>
    <row r="7" spans="2:12" x14ac:dyDescent="0.3">
      <c r="B7" s="2"/>
      <c r="C7" s="37"/>
      <c r="D7" s="37"/>
      <c r="E7" s="37"/>
      <c r="F7" s="47"/>
      <c r="G7" s="2"/>
      <c r="H7" s="47"/>
      <c r="I7" s="2"/>
      <c r="J7" s="2"/>
      <c r="K7" s="28"/>
      <c r="L7" s="41"/>
    </row>
    <row r="11" spans="2:12" x14ac:dyDescent="0.3">
      <c r="B11" s="254" t="s">
        <v>161</v>
      </c>
      <c r="C11" s="254"/>
      <c r="D11" s="254"/>
      <c r="E11" s="254"/>
      <c r="F11" s="254"/>
      <c r="G11" s="254"/>
      <c r="H11" s="254"/>
      <c r="I11" s="254"/>
      <c r="J11" s="254"/>
      <c r="K11" s="254"/>
      <c r="L11" s="254"/>
    </row>
    <row r="12" spans="2:12" x14ac:dyDescent="0.3"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</row>
    <row r="13" spans="2:12" x14ac:dyDescent="0.3">
      <c r="B13" s="157" t="s">
        <v>12</v>
      </c>
      <c r="C13" s="157" t="s">
        <v>2</v>
      </c>
      <c r="D13" s="157" t="s">
        <v>1</v>
      </c>
      <c r="E13" s="157" t="s">
        <v>5</v>
      </c>
      <c r="F13" s="157" t="s">
        <v>17</v>
      </c>
      <c r="G13" s="157" t="s">
        <v>24</v>
      </c>
      <c r="H13" s="157" t="s">
        <v>46</v>
      </c>
      <c r="I13" s="158" t="s">
        <v>50</v>
      </c>
      <c r="J13" s="159" t="s">
        <v>6</v>
      </c>
      <c r="K13" s="157" t="s">
        <v>27</v>
      </c>
      <c r="L13" s="157" t="s">
        <v>37</v>
      </c>
    </row>
    <row r="14" spans="2:12" ht="16.5" customHeight="1" x14ac:dyDescent="0.3">
      <c r="B14" s="2"/>
      <c r="C14" s="37"/>
      <c r="D14" s="37"/>
      <c r="E14" s="37"/>
      <c r="F14" s="47"/>
      <c r="G14" s="2"/>
      <c r="H14" s="47"/>
      <c r="I14" s="2"/>
      <c r="J14" s="156"/>
      <c r="K14" s="28"/>
      <c r="L14" s="41"/>
    </row>
    <row r="15" spans="2:12" ht="17.25" customHeight="1" x14ac:dyDescent="0.3"/>
    <row r="17" spans="2:12" ht="18" x14ac:dyDescent="0.3">
      <c r="B17" s="150" t="s">
        <v>149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</row>
    <row r="18" spans="2:12" ht="18" customHeight="1" x14ac:dyDescent="0.3"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</row>
    <row r="19" spans="2:12" x14ac:dyDescent="0.3">
      <c r="B19" s="6" t="s">
        <v>12</v>
      </c>
      <c r="C19" s="6" t="s">
        <v>2</v>
      </c>
      <c r="D19" s="6" t="s">
        <v>1</v>
      </c>
      <c r="E19" s="6" t="s">
        <v>5</v>
      </c>
      <c r="F19" s="6" t="s">
        <v>17</v>
      </c>
      <c r="G19" s="6" t="s">
        <v>24</v>
      </c>
      <c r="H19" s="6" t="s">
        <v>46</v>
      </c>
      <c r="I19" s="44" t="s">
        <v>50</v>
      </c>
      <c r="J19" s="7" t="s">
        <v>6</v>
      </c>
      <c r="K19" s="6" t="s">
        <v>27</v>
      </c>
      <c r="L19" s="6" t="s">
        <v>37</v>
      </c>
    </row>
    <row r="20" spans="2:12" x14ac:dyDescent="0.3">
      <c r="B20" s="2"/>
      <c r="C20" s="37"/>
      <c r="D20" s="37"/>
      <c r="E20" s="37"/>
      <c r="F20" s="47"/>
      <c r="G20" s="2"/>
      <c r="H20" s="47"/>
      <c r="I20" s="2"/>
      <c r="J20" s="2"/>
      <c r="K20" s="28"/>
      <c r="L20" s="41"/>
    </row>
    <row r="21" spans="2:12" ht="17.25" thickBot="1" x14ac:dyDescent="0.35">
      <c r="C21" s="162" t="s">
        <v>56</v>
      </c>
      <c r="D21" s="149"/>
      <c r="E21" s="149"/>
      <c r="K21" s="41"/>
    </row>
    <row r="22" spans="2:12" x14ac:dyDescent="0.3">
      <c r="C22" s="48" t="s">
        <v>57</v>
      </c>
      <c r="D22" s="48"/>
      <c r="E22" s="49">
        <v>350</v>
      </c>
      <c r="K22" s="41"/>
    </row>
    <row r="23" spans="2:12" ht="16.5" customHeight="1" x14ac:dyDescent="0.3">
      <c r="C23" s="50" t="s">
        <v>58</v>
      </c>
      <c r="D23" s="63"/>
      <c r="E23" s="51">
        <v>350</v>
      </c>
      <c r="K23" s="41"/>
    </row>
    <row r="24" spans="2:12" ht="16.5" customHeight="1" x14ac:dyDescent="0.3">
      <c r="C24" s="52" t="s">
        <v>59</v>
      </c>
      <c r="D24" s="48"/>
      <c r="E24" s="51">
        <v>350</v>
      </c>
      <c r="K24" s="42"/>
    </row>
    <row r="25" spans="2:12" x14ac:dyDescent="0.3">
      <c r="C25" s="48" t="s">
        <v>62</v>
      </c>
      <c r="D25" s="48"/>
      <c r="E25" s="53">
        <v>480</v>
      </c>
      <c r="K25" s="42"/>
    </row>
    <row r="26" spans="2:12" ht="17.25" thickBot="1" x14ac:dyDescent="0.35">
      <c r="C26" s="54" t="s">
        <v>60</v>
      </c>
      <c r="D26" s="64"/>
      <c r="E26" s="55">
        <v>600</v>
      </c>
      <c r="K26" s="42"/>
    </row>
  </sheetData>
  <mergeCells count="10">
    <mergeCell ref="B11:L12"/>
    <mergeCell ref="B4:L5"/>
    <mergeCell ref="B2:B3"/>
    <mergeCell ref="D2:D3"/>
    <mergeCell ref="C2:C3"/>
    <mergeCell ref="E2:E3"/>
    <mergeCell ref="F2:F3"/>
    <mergeCell ref="G2:H3"/>
    <mergeCell ref="I2:I3"/>
    <mergeCell ref="J2:K3"/>
  </mergeCells>
  <pageMargins left="0.7" right="0.7" top="0.75" bottom="0.75" header="0.3" footer="0.3"/>
  <pageSetup paperSize="9" scale="56" orientation="landscape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66FF"/>
  </sheetPr>
  <dimension ref="B1:L18"/>
  <sheetViews>
    <sheetView zoomScaleNormal="100" workbookViewId="0">
      <pane xSplit="11" ySplit="6" topLeftCell="M7" activePane="bottomRight" state="frozen"/>
      <selection pane="topRight" activeCell="L1" sqref="L1"/>
      <selection pane="bottomLeft" activeCell="A7" sqref="A7"/>
      <selection pane="bottomRight" activeCell="B7" sqref="B7:B8"/>
    </sheetView>
  </sheetViews>
  <sheetFormatPr defaultRowHeight="16.5" x14ac:dyDescent="0.3"/>
  <cols>
    <col min="1" max="1" width="1.25" customWidth="1"/>
    <col min="2" max="2" width="13.625" customWidth="1"/>
    <col min="3" max="3" width="24.75" customWidth="1"/>
    <col min="4" max="4" width="12.625" customWidth="1"/>
    <col min="5" max="5" width="21.375" customWidth="1"/>
    <col min="6" max="6" width="12.625" customWidth="1"/>
    <col min="7" max="7" width="13.625" customWidth="1"/>
    <col min="8" max="8" width="0.5" customWidth="1"/>
    <col min="9" max="9" width="13.625" hidden="1" customWidth="1"/>
    <col min="10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SUMIF(G7:G7,"="&amp;"",F7:F7)</f>
        <v>0</v>
      </c>
      <c r="D2" s="183" t="s">
        <v>39</v>
      </c>
      <c r="E2" s="259">
        <f>SUMIF(I7:I7,"="&amp;"",H7:H7)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SUM(F7:F7,H7:H7)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58" t="s">
        <v>84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</row>
    <row r="5" spans="2:12" ht="18.75" customHeight="1" x14ac:dyDescent="0.3"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</row>
    <row r="6" spans="2:12" x14ac:dyDescent="0.3">
      <c r="B6" s="65" t="s">
        <v>12</v>
      </c>
      <c r="C6" s="65" t="s">
        <v>2</v>
      </c>
      <c r="D6" s="65" t="s">
        <v>1</v>
      </c>
      <c r="E6" s="65" t="s">
        <v>5</v>
      </c>
      <c r="F6" s="65" t="s">
        <v>17</v>
      </c>
      <c r="G6" s="65" t="s">
        <v>24</v>
      </c>
      <c r="H6" s="65" t="s">
        <v>46</v>
      </c>
      <c r="I6" s="66" t="s">
        <v>50</v>
      </c>
      <c r="J6" s="67" t="s">
        <v>6</v>
      </c>
      <c r="K6" s="65" t="s">
        <v>27</v>
      </c>
      <c r="L6" s="65" t="s">
        <v>37</v>
      </c>
    </row>
    <row r="7" spans="2:12" x14ac:dyDescent="0.3">
      <c r="B7" s="156"/>
      <c r="D7" s="1"/>
      <c r="E7" s="37"/>
      <c r="F7" s="111"/>
      <c r="G7" s="2"/>
      <c r="J7" s="2"/>
      <c r="K7" s="128"/>
    </row>
    <row r="8" spans="2:12" x14ac:dyDescent="0.3">
      <c r="K8" s="41"/>
    </row>
    <row r="9" spans="2:12" x14ac:dyDescent="0.3">
      <c r="K9" s="41"/>
    </row>
    <row r="10" spans="2:12" x14ac:dyDescent="0.3">
      <c r="K10" s="41"/>
    </row>
    <row r="11" spans="2:12" x14ac:dyDescent="0.3">
      <c r="K11" s="41"/>
    </row>
    <row r="12" spans="2:12" x14ac:dyDescent="0.3">
      <c r="K12" s="42"/>
    </row>
    <row r="13" spans="2:12" x14ac:dyDescent="0.3">
      <c r="K13" s="42"/>
    </row>
    <row r="14" spans="2:12" ht="16.5" customHeight="1" x14ac:dyDescent="0.3">
      <c r="K14" s="42"/>
    </row>
    <row r="15" spans="2:12" ht="17.25" customHeight="1" x14ac:dyDescent="0.3">
      <c r="K15" s="42"/>
    </row>
    <row r="16" spans="2:12" x14ac:dyDescent="0.3">
      <c r="K16" s="42"/>
    </row>
    <row r="17" spans="11:11" x14ac:dyDescent="0.3">
      <c r="K17" s="42"/>
    </row>
    <row r="18" spans="11:11" ht="5.25" customHeight="1" x14ac:dyDescent="0.3"/>
  </sheetData>
  <mergeCells count="9">
    <mergeCell ref="I2:I3"/>
    <mergeCell ref="J2:K3"/>
    <mergeCell ref="B4:L5"/>
    <mergeCell ref="B2:B3"/>
    <mergeCell ref="C2:C3"/>
    <mergeCell ref="D2:D3"/>
    <mergeCell ref="E2:E3"/>
    <mergeCell ref="F2:F3"/>
    <mergeCell ref="G2:H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77C-1CFD-4C22-A887-90432A2E190E}">
  <sheetPr>
    <tabColor rgb="FF00B050"/>
  </sheetPr>
  <dimension ref="B1:L18"/>
  <sheetViews>
    <sheetView zoomScaleNormal="100" workbookViewId="0">
      <selection activeCell="E7" sqref="E7"/>
    </sheetView>
  </sheetViews>
  <sheetFormatPr defaultRowHeight="16.5" x14ac:dyDescent="0.3"/>
  <cols>
    <col min="1" max="1" width="0.75" customWidth="1"/>
    <col min="2" max="2" width="13.625" customWidth="1"/>
    <col min="3" max="3" width="26.375" customWidth="1"/>
    <col min="4" max="4" width="11.5" customWidth="1"/>
    <col min="5" max="5" width="19.625" customWidth="1"/>
    <col min="6" max="6" width="12.625" customWidth="1"/>
    <col min="7" max="7" width="13.25" customWidth="1"/>
    <col min="8" max="8" width="0.25" hidden="1" customWidth="1"/>
    <col min="9" max="9" width="13.625" hidden="1" customWidth="1"/>
    <col min="10" max="11" width="13.625" customWidth="1"/>
    <col min="12" max="12" width="30.1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196">
        <f>SUMIF(G7:G7,"="&amp;"",F7:F7)</f>
        <v>0</v>
      </c>
      <c r="D2" s="183" t="s">
        <v>39</v>
      </c>
      <c r="E2" s="196">
        <f>SUMIF(I7:I7,"="&amp;"",H7:H7)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 t="e">
        <f>SUM(#REF!,#REF!)</f>
        <v>#REF!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0" t="s">
        <v>85</v>
      </c>
      <c r="C4" s="260"/>
      <c r="D4" s="260"/>
      <c r="E4" s="260"/>
      <c r="F4" s="260"/>
      <c r="G4" s="260"/>
      <c r="H4" s="260"/>
      <c r="I4" s="260"/>
      <c r="J4" s="260"/>
      <c r="K4" s="260"/>
      <c r="L4" s="260"/>
    </row>
    <row r="5" spans="2:12" ht="18.75" customHeight="1" x14ac:dyDescent="0.3"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11"/>
      <c r="E7" s="37"/>
      <c r="F7" s="47"/>
      <c r="G7" s="20"/>
      <c r="H7" s="171"/>
      <c r="I7" s="2"/>
      <c r="J7" s="26"/>
      <c r="K7" s="112"/>
      <c r="L7" s="41"/>
    </row>
    <row r="14" spans="2:12" ht="16.5" customHeight="1" x14ac:dyDescent="0.3"/>
    <row r="15" spans="2:12" ht="17.25" customHeight="1" x14ac:dyDescent="0.3"/>
    <row r="18" ht="16.5" customHeight="1" x14ac:dyDescent="0.3"/>
  </sheetData>
  <mergeCells count="9">
    <mergeCell ref="I2:I3"/>
    <mergeCell ref="J2:K3"/>
    <mergeCell ref="B4:L5"/>
    <mergeCell ref="B2:B3"/>
    <mergeCell ref="C2:C3"/>
    <mergeCell ref="D2:D3"/>
    <mergeCell ref="E2:E3"/>
    <mergeCell ref="F2:F3"/>
    <mergeCell ref="G2:H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65DA3"/>
  </sheetPr>
  <dimension ref="B1:L18"/>
  <sheetViews>
    <sheetView workbookViewId="0">
      <selection activeCell="L19" sqref="L19"/>
    </sheetView>
  </sheetViews>
  <sheetFormatPr defaultRowHeight="16.5" x14ac:dyDescent="0.3"/>
  <cols>
    <col min="1" max="1" width="1.25" customWidth="1"/>
    <col min="2" max="2" width="13.625" customWidth="1"/>
    <col min="3" max="3" width="21.875" customWidth="1"/>
    <col min="4" max="4" width="12.625" customWidth="1"/>
    <col min="5" max="5" width="20.75" bestFit="1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41.87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SUMIF(G7:G7,"="&amp;"",F7:F7)</f>
        <v>0</v>
      </c>
      <c r="D2" s="183" t="s">
        <v>39</v>
      </c>
      <c r="E2" s="259">
        <f>SUMIF(I7:I7,"="&amp;"",H7:H7)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SUM(F7:F7,H7:H7)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55" t="s">
        <v>77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</row>
    <row r="5" spans="2:12" ht="18.75" customHeight="1" x14ac:dyDescent="0.3"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3"/>
      <c r="F7" s="111"/>
      <c r="G7" s="3"/>
      <c r="H7" s="1"/>
      <c r="I7" s="1"/>
      <c r="J7" s="23"/>
    </row>
    <row r="8" spans="2:12" x14ac:dyDescent="0.3">
      <c r="K8" s="41"/>
    </row>
    <row r="9" spans="2:12" x14ac:dyDescent="0.3">
      <c r="K9" s="41"/>
    </row>
    <row r="10" spans="2:12" x14ac:dyDescent="0.3">
      <c r="K10" s="41"/>
    </row>
    <row r="11" spans="2:12" x14ac:dyDescent="0.3">
      <c r="K11" s="41"/>
    </row>
    <row r="12" spans="2:12" x14ac:dyDescent="0.3">
      <c r="K12" s="42"/>
    </row>
    <row r="13" spans="2:12" x14ac:dyDescent="0.3">
      <c r="K13" s="42"/>
    </row>
    <row r="14" spans="2:12" ht="16.5" customHeight="1" x14ac:dyDescent="0.3">
      <c r="K14" s="42"/>
    </row>
    <row r="15" spans="2:12" ht="17.25" customHeight="1" x14ac:dyDescent="0.3">
      <c r="K15" s="42"/>
    </row>
    <row r="16" spans="2:12" x14ac:dyDescent="0.3">
      <c r="K16" s="42"/>
    </row>
    <row r="17" spans="11:11" x14ac:dyDescent="0.3">
      <c r="K17" s="42"/>
    </row>
    <row r="18" spans="11:11" ht="5.25" customHeight="1" x14ac:dyDescent="0.3"/>
  </sheetData>
  <mergeCells count="9">
    <mergeCell ref="I2:I3"/>
    <mergeCell ref="J2:K3"/>
    <mergeCell ref="B4:L5"/>
    <mergeCell ref="B2:B3"/>
    <mergeCell ref="C2:C3"/>
    <mergeCell ref="D2:D3"/>
    <mergeCell ref="E2:E3"/>
    <mergeCell ref="F2:F3"/>
    <mergeCell ref="G2:H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39997558519241921"/>
  </sheetPr>
  <dimension ref="B1:L27"/>
  <sheetViews>
    <sheetView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G11" sqref="G11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44" t="s">
        <v>78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</row>
    <row r="5" spans="2:12" ht="18.75" customHeight="1" x14ac:dyDescent="0.3"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x14ac:dyDescent="0.3">
      <c r="K19" s="41"/>
    </row>
    <row r="20" spans="2:12" ht="17.25" thickBot="1" x14ac:dyDescent="0.35">
      <c r="K20" s="41"/>
    </row>
    <row r="21" spans="2:12" x14ac:dyDescent="0.3">
      <c r="C21" s="114" t="s">
        <v>105</v>
      </c>
      <c r="K21" s="41"/>
    </row>
    <row r="22" spans="2:12" ht="17.25" thickBot="1" x14ac:dyDescent="0.35">
      <c r="C22" s="115" t="s">
        <v>106</v>
      </c>
      <c r="K22" s="42"/>
    </row>
    <row r="23" spans="2:12" x14ac:dyDescent="0.3">
      <c r="K23" s="42"/>
    </row>
    <row r="24" spans="2:12" x14ac:dyDescent="0.3">
      <c r="K24" s="42"/>
    </row>
    <row r="25" spans="2:12" x14ac:dyDescent="0.3">
      <c r="K25" s="42"/>
    </row>
    <row r="26" spans="2:12" x14ac:dyDescent="0.3">
      <c r="K26" s="42"/>
    </row>
    <row r="27" spans="2:12" x14ac:dyDescent="0.3">
      <c r="K27" s="42"/>
    </row>
  </sheetData>
  <mergeCells count="9">
    <mergeCell ref="G2:H3"/>
    <mergeCell ref="I2:I3"/>
    <mergeCell ref="J2:K3"/>
    <mergeCell ref="B4:L5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249977111117893"/>
  </sheetPr>
  <dimension ref="B1:L18"/>
  <sheetViews>
    <sheetView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F8" sqref="F8"/>
    </sheetView>
  </sheetViews>
  <sheetFormatPr defaultRowHeight="16.5" x14ac:dyDescent="0.3"/>
  <cols>
    <col min="1" max="1" width="1.25" customWidth="1"/>
    <col min="2" max="2" width="13.625" customWidth="1"/>
    <col min="3" max="3" width="21.625" customWidth="1"/>
    <col min="4" max="4" width="1.375" customWidth="1"/>
    <col min="5" max="5" width="19.625" customWidth="1"/>
    <col min="6" max="6" width="12.625" customWidth="1"/>
    <col min="7" max="7" width="14.25" bestFit="1" customWidth="1"/>
    <col min="8" max="8" width="11.75" bestFit="1" customWidth="1"/>
    <col min="9" max="9" width="18.375" bestFit="1" customWidth="1"/>
    <col min="10" max="10" width="13.125" customWidth="1"/>
    <col min="11" max="11" width="13.25" customWidth="1"/>
    <col min="12" max="12" width="49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196" t="e">
        <f>SUMIF(#REF!,"="&amp;"",#REF!)</f>
        <v>#REF!</v>
      </c>
      <c r="D2" s="183" t="s">
        <v>39</v>
      </c>
      <c r="E2" s="196" t="e">
        <f>SUMIF(#REF!,"="&amp;"",#REF!)</f>
        <v>#REF!</v>
      </c>
      <c r="F2" s="183" t="s">
        <v>73</v>
      </c>
      <c r="G2" s="192" t="e">
        <f>SUM(C2,E2)</f>
        <v>#REF!</v>
      </c>
      <c r="H2" s="193"/>
      <c r="I2" s="223" t="s">
        <v>74</v>
      </c>
      <c r="J2" s="225" t="e">
        <f>SUM(#REF!,#REF!)</f>
        <v>#REF!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1" t="s">
        <v>80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</row>
    <row r="5" spans="2:12" ht="18.75" customHeight="1" x14ac:dyDescent="0.3"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>
        <v>46049</v>
      </c>
      <c r="C7" s="71" t="s">
        <v>179</v>
      </c>
      <c r="D7" s="37"/>
      <c r="E7" s="29" t="s">
        <v>206</v>
      </c>
      <c r="F7" s="5">
        <v>3453.5</v>
      </c>
      <c r="G7" s="26">
        <v>46049</v>
      </c>
      <c r="H7" s="140">
        <v>3453.5</v>
      </c>
      <c r="I7" s="141">
        <v>46077</v>
      </c>
      <c r="J7" s="113"/>
      <c r="K7" s="112"/>
      <c r="L7" s="29"/>
    </row>
    <row r="8" spans="2:12" x14ac:dyDescent="0.3">
      <c r="I8" s="141"/>
      <c r="J8" s="113"/>
      <c r="K8" s="112"/>
      <c r="L8" s="29"/>
    </row>
    <row r="9" spans="2:12" x14ac:dyDescent="0.3">
      <c r="D9" t="s">
        <v>174</v>
      </c>
      <c r="K9" s="42"/>
    </row>
    <row r="10" spans="2:12" x14ac:dyDescent="0.3">
      <c r="D10" t="s">
        <v>162</v>
      </c>
      <c r="K10" s="42"/>
    </row>
    <row r="11" spans="2:12" x14ac:dyDescent="0.3">
      <c r="D11" t="s">
        <v>163</v>
      </c>
      <c r="K11" s="42"/>
    </row>
    <row r="12" spans="2:12" x14ac:dyDescent="0.3">
      <c r="D12" t="s">
        <v>171</v>
      </c>
      <c r="K12" s="42"/>
    </row>
    <row r="13" spans="2:12" x14ac:dyDescent="0.3">
      <c r="D13" t="s">
        <v>173</v>
      </c>
      <c r="K13" s="42"/>
    </row>
    <row r="14" spans="2:12" ht="16.5" customHeight="1" x14ac:dyDescent="0.3"/>
    <row r="15" spans="2:12" ht="17.25" customHeight="1" x14ac:dyDescent="0.3"/>
    <row r="18" ht="5.25" customHeight="1" x14ac:dyDescent="0.3"/>
  </sheetData>
  <mergeCells count="9">
    <mergeCell ref="G2:H3"/>
    <mergeCell ref="I2:I3"/>
    <mergeCell ref="J2:K3"/>
    <mergeCell ref="B4:L5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8999-9014-4EBB-8C47-6DF07E8FE502}">
  <sheetPr>
    <tabColor theme="1" tint="0.249977111117893"/>
  </sheetPr>
  <dimension ref="B1:L26"/>
  <sheetViews>
    <sheetView workbookViewId="0">
      <selection activeCell="E7" sqref="E7"/>
    </sheetView>
  </sheetViews>
  <sheetFormatPr defaultRowHeight="16.5" x14ac:dyDescent="0.3"/>
  <cols>
    <col min="1" max="1" width="1.25" customWidth="1"/>
    <col min="2" max="2" width="13.625" customWidth="1"/>
    <col min="3" max="3" width="22.75" customWidth="1"/>
    <col min="4" max="4" width="12.625" customWidth="1"/>
    <col min="5" max="5" width="26.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33.87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SUMIF(G7:G16,"="&amp;"",F7:F16)</f>
        <v>0</v>
      </c>
      <c r="D2" s="183" t="s">
        <v>39</v>
      </c>
      <c r="E2" s="259">
        <f>SUMIF(I7:I16,"="&amp;"",H7:H16)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SUM(F7:F11,H7:H11)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2" t="s">
        <v>100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</row>
    <row r="5" spans="2:12" ht="18.75" customHeight="1" x14ac:dyDescent="0.3"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11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11"/>
      <c r="E8" s="37"/>
      <c r="F8" s="47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11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11"/>
      <c r="E10" s="37"/>
      <c r="F10" s="5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11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11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11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11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11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11"/>
      <c r="E16" s="37"/>
      <c r="F16" s="5"/>
      <c r="G16" s="2"/>
      <c r="H16" s="4"/>
      <c r="I16" s="2"/>
      <c r="J16" s="2"/>
      <c r="K16" s="43"/>
      <c r="L16" s="41"/>
    </row>
    <row r="17" spans="11:11" x14ac:dyDescent="0.3">
      <c r="K17" s="41"/>
    </row>
    <row r="18" spans="11:11" ht="5.25" customHeight="1" x14ac:dyDescent="0.3">
      <c r="K18" s="41"/>
    </row>
    <row r="19" spans="11:11" x14ac:dyDescent="0.3">
      <c r="K19" s="41"/>
    </row>
    <row r="20" spans="11:11" x14ac:dyDescent="0.3">
      <c r="K20" s="41"/>
    </row>
    <row r="21" spans="11:11" x14ac:dyDescent="0.3">
      <c r="K21" s="42"/>
    </row>
    <row r="22" spans="11:11" x14ac:dyDescent="0.3">
      <c r="K22" s="42"/>
    </row>
    <row r="23" spans="11:11" x14ac:dyDescent="0.3">
      <c r="K23" s="42"/>
    </row>
    <row r="24" spans="11:11" x14ac:dyDescent="0.3">
      <c r="K24" s="42"/>
    </row>
    <row r="25" spans="11:11" x14ac:dyDescent="0.3">
      <c r="K25" s="42"/>
    </row>
    <row r="26" spans="11:11" x14ac:dyDescent="0.3">
      <c r="K26" s="42"/>
    </row>
  </sheetData>
  <mergeCells count="9">
    <mergeCell ref="G2:H3"/>
    <mergeCell ref="I2:I3"/>
    <mergeCell ref="J2:K3"/>
    <mergeCell ref="B4:L5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F498"/>
  </sheetPr>
  <dimension ref="B1:L27"/>
  <sheetViews>
    <sheetView zoomScaleNormal="10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E18" sqref="E18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3" t="s">
        <v>79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</row>
    <row r="5" spans="2:12" ht="18.75" customHeight="1" x14ac:dyDescent="0.3"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x14ac:dyDescent="0.3">
      <c r="K19" s="41"/>
    </row>
    <row r="20" spans="2:12" x14ac:dyDescent="0.3">
      <c r="K20" s="41"/>
    </row>
    <row r="21" spans="2:12" x14ac:dyDescent="0.3">
      <c r="K21" s="41"/>
    </row>
    <row r="22" spans="2:12" x14ac:dyDescent="0.3">
      <c r="K22" s="42"/>
    </row>
    <row r="23" spans="2:12" x14ac:dyDescent="0.3">
      <c r="K23" s="42"/>
    </row>
    <row r="24" spans="2:12" x14ac:dyDescent="0.3">
      <c r="K24" s="42"/>
    </row>
    <row r="25" spans="2:12" x14ac:dyDescent="0.3">
      <c r="K25" s="42"/>
    </row>
    <row r="26" spans="2:12" x14ac:dyDescent="0.3">
      <c r="K26" s="42"/>
    </row>
    <row r="27" spans="2:12" x14ac:dyDescent="0.3">
      <c r="K27" s="42"/>
    </row>
  </sheetData>
  <mergeCells count="9">
    <mergeCell ref="B4:L5"/>
    <mergeCell ref="B2:B3"/>
    <mergeCell ref="C2:C3"/>
    <mergeCell ref="D2:D3"/>
    <mergeCell ref="E2:E3"/>
    <mergeCell ref="F2:F3"/>
    <mergeCell ref="G2:H3"/>
    <mergeCell ref="I2:I3"/>
    <mergeCell ref="J2:K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499984740745262"/>
  </sheetPr>
  <dimension ref="B1:L27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B7" sqref="B7:L7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4" t="s">
        <v>81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</row>
    <row r="5" spans="2:12" ht="18.75" customHeight="1" x14ac:dyDescent="0.3"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x14ac:dyDescent="0.3">
      <c r="K19" s="41"/>
    </row>
    <row r="20" spans="2:12" x14ac:dyDescent="0.3">
      <c r="K20" s="41"/>
    </row>
    <row r="21" spans="2:12" x14ac:dyDescent="0.3">
      <c r="K21" s="41"/>
    </row>
    <row r="22" spans="2:12" x14ac:dyDescent="0.3">
      <c r="K22" s="42"/>
    </row>
    <row r="23" spans="2:12" x14ac:dyDescent="0.3">
      <c r="K23" s="42"/>
    </row>
    <row r="24" spans="2:12" x14ac:dyDescent="0.3">
      <c r="K24" s="42"/>
    </row>
    <row r="25" spans="2:12" x14ac:dyDescent="0.3">
      <c r="K25" s="42"/>
    </row>
    <row r="26" spans="2:12" x14ac:dyDescent="0.3">
      <c r="K26" s="42"/>
    </row>
    <row r="27" spans="2:12" x14ac:dyDescent="0.3">
      <c r="K27" s="42"/>
    </row>
  </sheetData>
  <mergeCells count="9">
    <mergeCell ref="J2:K3"/>
    <mergeCell ref="B4:L5"/>
    <mergeCell ref="B2:B3"/>
    <mergeCell ref="C2:C3"/>
    <mergeCell ref="D2:D3"/>
    <mergeCell ref="E2:E3"/>
    <mergeCell ref="F2:F3"/>
    <mergeCell ref="G2:H3"/>
    <mergeCell ref="I2:I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B1:L27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H7" sqref="H7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5" t="s">
        <v>82</v>
      </c>
      <c r="C4" s="265"/>
      <c r="D4" s="265"/>
      <c r="E4" s="265"/>
      <c r="F4" s="265"/>
      <c r="G4" s="265"/>
      <c r="H4" s="265"/>
      <c r="I4" s="265"/>
      <c r="J4" s="265"/>
      <c r="K4" s="265"/>
      <c r="L4" s="265"/>
    </row>
    <row r="5" spans="2:12" ht="18.75" customHeight="1" x14ac:dyDescent="0.3"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x14ac:dyDescent="0.3">
      <c r="K19" s="41"/>
    </row>
    <row r="20" spans="2:12" x14ac:dyDescent="0.3">
      <c r="K20" s="41"/>
    </row>
    <row r="21" spans="2:12" x14ac:dyDescent="0.3">
      <c r="K21" s="41"/>
    </row>
    <row r="22" spans="2:12" x14ac:dyDescent="0.3">
      <c r="K22" s="42"/>
    </row>
    <row r="23" spans="2:12" x14ac:dyDescent="0.3">
      <c r="K23" s="42"/>
    </row>
    <row r="24" spans="2:12" x14ac:dyDescent="0.3">
      <c r="K24" s="42"/>
    </row>
    <row r="25" spans="2:12" x14ac:dyDescent="0.3">
      <c r="K25" s="42"/>
    </row>
    <row r="26" spans="2:12" x14ac:dyDescent="0.3">
      <c r="K26" s="42"/>
    </row>
    <row r="27" spans="2:12" x14ac:dyDescent="0.3">
      <c r="K27" s="42"/>
    </row>
  </sheetData>
  <mergeCells count="9">
    <mergeCell ref="G2:H3"/>
    <mergeCell ref="I2:I3"/>
    <mergeCell ref="J2:K3"/>
    <mergeCell ref="B4:L5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EF92-DFFC-4696-8D73-DAA5AD65C384}">
  <sheetPr>
    <tabColor theme="3" tint="0.39997558519241921"/>
  </sheetPr>
  <dimension ref="B1:L27"/>
  <sheetViews>
    <sheetView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H17" sqref="H17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66" t="s">
        <v>83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2:12" ht="18.75" customHeight="1" x14ac:dyDescent="0.3"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x14ac:dyDescent="0.3">
      <c r="K19" s="41"/>
    </row>
    <row r="20" spans="2:12" x14ac:dyDescent="0.3">
      <c r="K20" s="41"/>
    </row>
    <row r="21" spans="2:12" x14ac:dyDescent="0.3">
      <c r="K21" s="41"/>
    </row>
    <row r="22" spans="2:12" x14ac:dyDescent="0.3">
      <c r="K22" s="42"/>
    </row>
    <row r="23" spans="2:12" x14ac:dyDescent="0.3">
      <c r="K23" s="42"/>
    </row>
    <row r="24" spans="2:12" x14ac:dyDescent="0.3">
      <c r="K24" s="42"/>
    </row>
    <row r="25" spans="2:12" x14ac:dyDescent="0.3">
      <c r="K25" s="42"/>
    </row>
    <row r="26" spans="2:12" x14ac:dyDescent="0.3">
      <c r="K26" s="42"/>
    </row>
    <row r="27" spans="2:12" x14ac:dyDescent="0.3">
      <c r="K27" s="42"/>
    </row>
  </sheetData>
  <mergeCells count="9">
    <mergeCell ref="J2:K3"/>
    <mergeCell ref="B4:L5"/>
    <mergeCell ref="B2:B3"/>
    <mergeCell ref="C2:C3"/>
    <mergeCell ref="D2:D3"/>
    <mergeCell ref="E2:E3"/>
    <mergeCell ref="F2:F3"/>
    <mergeCell ref="G2:H3"/>
    <mergeCell ref="I2:I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8370-F0D1-4AE4-A0D4-CBE8757A9D9D}">
  <sheetPr>
    <tabColor theme="4" tint="0.39997558519241921"/>
  </sheetPr>
  <dimension ref="B1:L33"/>
  <sheetViews>
    <sheetView workbookViewId="0">
      <selection activeCell="E20" sqref="E20:F21"/>
    </sheetView>
  </sheetViews>
  <sheetFormatPr defaultRowHeight="16.5" x14ac:dyDescent="0.3"/>
  <cols>
    <col min="1" max="1" width="1.25" customWidth="1"/>
    <col min="2" max="2" width="13.625" customWidth="1"/>
    <col min="3" max="3" width="28.375" customWidth="1"/>
    <col min="4" max="4" width="12.625" customWidth="1"/>
    <col min="5" max="5" width="19.625" customWidth="1"/>
    <col min="6" max="6" width="12.625" customWidth="1"/>
    <col min="7" max="7" width="13.625" customWidth="1"/>
    <col min="8" max="8" width="11.75" bestFit="1" customWidth="1"/>
    <col min="9" max="11" width="13.625" customWidth="1"/>
    <col min="12" max="12" width="60.625" customWidth="1"/>
    <col min="13" max="13" width="14.625" customWidth="1"/>
  </cols>
  <sheetData>
    <row r="1" spans="2:12" ht="6.75" customHeight="1" thickBot="1" x14ac:dyDescent="0.35"/>
    <row r="2" spans="2:12" ht="22.5" customHeight="1" x14ac:dyDescent="0.3">
      <c r="B2" s="183" t="s">
        <v>40</v>
      </c>
      <c r="C2" s="259">
        <f>SUMIF(G7:G17,"="&amp;"",F7:F17)</f>
        <v>0</v>
      </c>
      <c r="D2" s="183" t="s">
        <v>39</v>
      </c>
      <c r="E2" s="259">
        <f>SUMIF(I7:I17,"="&amp;"",H7:H17)</f>
        <v>0</v>
      </c>
      <c r="F2" s="183" t="s">
        <v>73</v>
      </c>
      <c r="G2" s="192">
        <f>SUM(C2,E2)</f>
        <v>0</v>
      </c>
      <c r="H2" s="193"/>
      <c r="I2" s="223" t="s">
        <v>74</v>
      </c>
      <c r="J2" s="257">
        <f>SUM(F7:F12,H7:H12)</f>
        <v>0</v>
      </c>
      <c r="K2" s="226"/>
    </row>
    <row r="3" spans="2:12" ht="17.25" customHeight="1" thickBot="1" x14ac:dyDescent="0.35">
      <c r="B3" s="206"/>
      <c r="C3" s="256"/>
      <c r="D3" s="206"/>
      <c r="E3" s="256"/>
      <c r="F3" s="206"/>
      <c r="G3" s="222"/>
      <c r="H3" s="205"/>
      <c r="I3" s="224"/>
      <c r="J3" s="227"/>
      <c r="K3" s="228"/>
    </row>
    <row r="4" spans="2:12" ht="18.75" customHeight="1" x14ac:dyDescent="0.3">
      <c r="B4" s="271" t="s">
        <v>122</v>
      </c>
      <c r="C4" s="271"/>
      <c r="D4" s="271"/>
      <c r="E4" s="271"/>
      <c r="F4" s="271"/>
      <c r="G4" s="271"/>
      <c r="H4" s="271"/>
      <c r="I4" s="271"/>
      <c r="J4" s="271"/>
      <c r="K4" s="271"/>
      <c r="L4" s="271"/>
    </row>
    <row r="5" spans="2:12" ht="18.75" customHeight="1" x14ac:dyDescent="0.3"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</row>
    <row r="6" spans="2:12" x14ac:dyDescent="0.3">
      <c r="B6" s="69" t="s">
        <v>12</v>
      </c>
      <c r="C6" s="69" t="s">
        <v>2</v>
      </c>
      <c r="D6" s="69" t="s">
        <v>1</v>
      </c>
      <c r="E6" s="69" t="s">
        <v>5</v>
      </c>
      <c r="F6" s="69" t="s">
        <v>17</v>
      </c>
      <c r="G6" s="69" t="s">
        <v>24</v>
      </c>
      <c r="H6" s="69" t="s">
        <v>46</v>
      </c>
      <c r="I6" s="70" t="s">
        <v>50</v>
      </c>
      <c r="J6" s="68" t="s">
        <v>6</v>
      </c>
      <c r="K6" s="69" t="s">
        <v>27</v>
      </c>
      <c r="L6" s="69" t="s">
        <v>37</v>
      </c>
    </row>
    <row r="7" spans="2:12" x14ac:dyDescent="0.3">
      <c r="B7" s="2"/>
      <c r="C7" s="37"/>
      <c r="D7" s="37"/>
      <c r="E7" s="37"/>
      <c r="F7" s="5"/>
      <c r="G7" s="2"/>
      <c r="H7" s="4"/>
      <c r="I7" s="2"/>
      <c r="J7" s="2"/>
      <c r="K7" s="43"/>
      <c r="L7" s="41"/>
    </row>
    <row r="8" spans="2:12" x14ac:dyDescent="0.3">
      <c r="B8" s="2"/>
      <c r="C8" s="37"/>
      <c r="D8" s="37"/>
      <c r="E8" s="37"/>
      <c r="F8" s="5"/>
      <c r="G8" s="2"/>
      <c r="H8" s="4"/>
      <c r="I8" s="2"/>
      <c r="J8" s="2"/>
      <c r="K8" s="43"/>
      <c r="L8" s="41"/>
    </row>
    <row r="9" spans="2:12" x14ac:dyDescent="0.3">
      <c r="B9" s="2"/>
      <c r="C9" s="37"/>
      <c r="D9" s="37"/>
      <c r="E9" s="37"/>
      <c r="F9" s="47"/>
      <c r="G9" s="2"/>
      <c r="H9" s="4"/>
      <c r="I9" s="2"/>
      <c r="J9" s="2"/>
      <c r="K9" s="43"/>
      <c r="L9" s="41"/>
    </row>
    <row r="10" spans="2:12" x14ac:dyDescent="0.3">
      <c r="B10" s="2"/>
      <c r="C10" s="37"/>
      <c r="D10" s="37"/>
      <c r="E10" s="37"/>
      <c r="F10" s="47"/>
      <c r="G10" s="2"/>
      <c r="H10" s="4"/>
      <c r="I10" s="2"/>
      <c r="J10" s="2"/>
      <c r="K10" s="43"/>
      <c r="L10" s="41"/>
    </row>
    <row r="11" spans="2:12" x14ac:dyDescent="0.3">
      <c r="B11" s="2"/>
      <c r="C11" s="37"/>
      <c r="D11" s="37"/>
      <c r="E11" s="37"/>
      <c r="F11" s="5"/>
      <c r="G11" s="2"/>
      <c r="H11" s="4"/>
      <c r="I11" s="2"/>
      <c r="J11" s="2"/>
      <c r="K11" s="43"/>
      <c r="L11" s="41"/>
    </row>
    <row r="12" spans="2:12" x14ac:dyDescent="0.3">
      <c r="B12" s="2"/>
      <c r="C12" s="37"/>
      <c r="D12" s="37"/>
      <c r="E12" s="37"/>
      <c r="F12" s="5"/>
      <c r="G12" s="2"/>
      <c r="H12" s="4"/>
      <c r="I12" s="2"/>
      <c r="J12" s="2"/>
      <c r="K12" s="43"/>
      <c r="L12" s="41"/>
    </row>
    <row r="13" spans="2:12" x14ac:dyDescent="0.3">
      <c r="B13" s="2"/>
      <c r="C13" s="37"/>
      <c r="D13" s="37"/>
      <c r="E13" s="37"/>
      <c r="F13" s="5"/>
      <c r="G13" s="2"/>
      <c r="H13" s="4"/>
      <c r="I13" s="2"/>
      <c r="J13" s="2"/>
      <c r="K13" s="43"/>
      <c r="L13" s="41"/>
    </row>
    <row r="14" spans="2:12" ht="16.5" customHeight="1" x14ac:dyDescent="0.3">
      <c r="B14" s="2"/>
      <c r="C14" s="37"/>
      <c r="D14" s="37"/>
      <c r="E14" s="37"/>
      <c r="F14" s="5"/>
      <c r="G14" s="2"/>
      <c r="H14" s="4"/>
      <c r="I14" s="2"/>
      <c r="J14" s="2"/>
      <c r="K14" s="43"/>
      <c r="L14" s="41"/>
    </row>
    <row r="15" spans="2:12" ht="17.25" customHeight="1" x14ac:dyDescent="0.3">
      <c r="B15" s="2"/>
      <c r="C15" s="37"/>
      <c r="D15" s="37"/>
      <c r="E15" s="37"/>
      <c r="F15" s="5"/>
      <c r="G15" s="2"/>
      <c r="H15" s="4"/>
      <c r="I15" s="2"/>
      <c r="J15" s="2"/>
      <c r="K15" s="43"/>
      <c r="L15" s="41"/>
    </row>
    <row r="16" spans="2:12" x14ac:dyDescent="0.3">
      <c r="B16" s="2"/>
      <c r="C16" s="37"/>
      <c r="D16" s="37"/>
      <c r="E16" s="37"/>
      <c r="F16" s="5"/>
      <c r="G16" s="2"/>
      <c r="H16" s="4"/>
      <c r="I16" s="2"/>
      <c r="J16" s="2"/>
      <c r="K16" s="43"/>
      <c r="L16" s="41"/>
    </row>
    <row r="17" spans="2:12" x14ac:dyDescent="0.3">
      <c r="B17" s="2"/>
      <c r="C17" s="37"/>
      <c r="D17" s="37"/>
      <c r="E17" s="37"/>
      <c r="F17" s="5"/>
      <c r="G17" s="2"/>
      <c r="H17" s="4"/>
      <c r="I17" s="2"/>
      <c r="J17" s="2"/>
      <c r="K17" s="43"/>
      <c r="L17" s="41"/>
    </row>
    <row r="18" spans="2:12" ht="5.25" customHeight="1" x14ac:dyDescent="0.3">
      <c r="K18" s="41"/>
    </row>
    <row r="19" spans="2:12" ht="9.75" customHeight="1" x14ac:dyDescent="0.3">
      <c r="K19" s="41"/>
    </row>
    <row r="20" spans="2:12" ht="16.5" customHeight="1" x14ac:dyDescent="0.3">
      <c r="C20" s="245" t="s">
        <v>123</v>
      </c>
      <c r="D20" s="245"/>
      <c r="E20" s="247"/>
      <c r="F20" s="247"/>
      <c r="K20" s="41"/>
    </row>
    <row r="21" spans="2:12" ht="31.5" customHeight="1" thickBot="1" x14ac:dyDescent="0.35">
      <c r="C21" s="270"/>
      <c r="D21" s="270"/>
      <c r="E21" s="247"/>
      <c r="F21" s="247"/>
      <c r="K21" s="41"/>
    </row>
    <row r="22" spans="2:12" ht="17.25" thickBot="1" x14ac:dyDescent="0.35">
      <c r="B22" s="3">
        <v>45525</v>
      </c>
      <c r="C22" s="267" t="s">
        <v>124</v>
      </c>
      <c r="D22" s="268"/>
      <c r="E22" s="269"/>
      <c r="K22" s="42"/>
    </row>
    <row r="23" spans="2:12" ht="17.25" thickBot="1" x14ac:dyDescent="0.35">
      <c r="C23" s="118" t="s">
        <v>125</v>
      </c>
      <c r="D23" s="119"/>
      <c r="E23" s="120"/>
      <c r="K23" s="42"/>
    </row>
    <row r="24" spans="2:12" ht="17.25" thickBot="1" x14ac:dyDescent="0.35">
      <c r="C24" s="121" t="s">
        <v>126</v>
      </c>
      <c r="D24" s="119"/>
      <c r="E24" s="120"/>
      <c r="K24" s="42"/>
    </row>
    <row r="25" spans="2:12" ht="17.25" thickBot="1" x14ac:dyDescent="0.35">
      <c r="C25" s="122" t="s">
        <v>127</v>
      </c>
      <c r="D25" s="119"/>
      <c r="E25" s="120"/>
      <c r="K25" s="42"/>
    </row>
    <row r="26" spans="2:12" ht="17.25" thickBot="1" x14ac:dyDescent="0.35">
      <c r="C26" s="267" t="s">
        <v>129</v>
      </c>
      <c r="D26" s="268"/>
      <c r="E26" s="269"/>
      <c r="F26" s="75"/>
      <c r="K26" s="42"/>
    </row>
    <row r="27" spans="2:12" ht="17.25" thickBot="1" x14ac:dyDescent="0.35">
      <c r="C27" s="267" t="s">
        <v>128</v>
      </c>
      <c r="D27" s="268"/>
      <c r="E27" s="269"/>
      <c r="K27" s="42"/>
    </row>
    <row r="28" spans="2:12" ht="17.25" thickBot="1" x14ac:dyDescent="0.35">
      <c r="F28" s="75"/>
    </row>
    <row r="29" spans="2:12" ht="17.25" thickBot="1" x14ac:dyDescent="0.35">
      <c r="C29" s="116" t="s">
        <v>130</v>
      </c>
      <c r="D29" s="77"/>
      <c r="E29" s="80"/>
    </row>
    <row r="30" spans="2:12" ht="17.25" thickBot="1" x14ac:dyDescent="0.35">
      <c r="C30" s="116" t="s">
        <v>131</v>
      </c>
      <c r="D30" s="77"/>
      <c r="E30" s="80"/>
    </row>
    <row r="31" spans="2:12" ht="17.25" thickBot="1" x14ac:dyDescent="0.35">
      <c r="C31" s="117" t="s">
        <v>132</v>
      </c>
      <c r="D31" s="77"/>
      <c r="E31" s="80"/>
      <c r="F31" s="75"/>
    </row>
    <row r="32" spans="2:12" ht="17.25" thickBot="1" x14ac:dyDescent="0.35">
      <c r="C32" s="108" t="s">
        <v>134</v>
      </c>
      <c r="D32" s="82"/>
      <c r="E32" s="80"/>
    </row>
    <row r="33" spans="3:5" ht="17.25" thickBot="1" x14ac:dyDescent="0.35">
      <c r="C33" s="108" t="s">
        <v>133</v>
      </c>
      <c r="D33" s="82"/>
      <c r="E33" s="80"/>
    </row>
  </sheetData>
  <mergeCells count="14">
    <mergeCell ref="C26:E26"/>
    <mergeCell ref="C27:E27"/>
    <mergeCell ref="C20:D21"/>
    <mergeCell ref="I2:I3"/>
    <mergeCell ref="J2:K3"/>
    <mergeCell ref="B4:L5"/>
    <mergeCell ref="E20:F21"/>
    <mergeCell ref="C22:E22"/>
    <mergeCell ref="B2:B3"/>
    <mergeCell ref="C2:C3"/>
    <mergeCell ref="D2:D3"/>
    <mergeCell ref="E2:E3"/>
    <mergeCell ref="F2:F3"/>
    <mergeCell ref="G2:H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PEDIDOS DE ALUMÍNIO ADELPE</vt:lpstr>
      <vt:lpstr>PEDIDOS DE VIDRO GLASSPEL</vt:lpstr>
      <vt:lpstr>PEDIDOS DE VIDRO WANDER BOX</vt:lpstr>
      <vt:lpstr>PEDIDOS DE VIDRO PINHEIRO</vt:lpstr>
      <vt:lpstr>PEDIDOS DE VIDROS SALETE</vt:lpstr>
      <vt:lpstr>VIDROS CHAGAS</vt:lpstr>
      <vt:lpstr>PEDIDOS DE VIDRO STHENOO</vt:lpstr>
      <vt:lpstr>PEDIDOS DE PEDRA MÁRMORE</vt:lpstr>
      <vt:lpstr>PRIMAPOX</vt:lpstr>
      <vt:lpstr>NOVA ESSENCIAL</vt:lpstr>
      <vt:lpstr>PEDIDOS DE ALUMÍNIO RIO PRETO</vt:lpstr>
      <vt:lpstr>PEDIDO DE VIDRO VARZIM</vt:lpstr>
      <vt:lpstr>PEDIDO DE VIDRO VIDRAÇO</vt:lpstr>
      <vt:lpstr>MT METALURGICA</vt:lpstr>
      <vt:lpstr>PEDIDOS DE VIDRO BELÉM</vt:lpstr>
      <vt:lpstr>ALUMIVAN</vt:lpstr>
      <vt:lpstr>COLOR TELHA</vt:lpstr>
      <vt:lpstr>REAL VIDROS</vt:lpstr>
      <vt:lpstr>SMART 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Alutec</dc:creator>
  <cp:lastModifiedBy>Lucas Silva</cp:lastModifiedBy>
  <cp:lastPrinted>2026-01-06T20:54:35Z</cp:lastPrinted>
  <dcterms:created xsi:type="dcterms:W3CDTF">2020-12-14T14:18:19Z</dcterms:created>
  <dcterms:modified xsi:type="dcterms:W3CDTF">2026-03-05T20:22:28Z</dcterms:modified>
</cp:coreProperties>
</file>